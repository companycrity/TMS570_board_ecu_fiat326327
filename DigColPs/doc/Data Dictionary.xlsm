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1325" yWindow="405" windowWidth="2235" windowHeight="7230" tabRatio="719" activeTab="1"/>
  </bookViews>
  <sheets>
    <sheet name="Change Log" sheetId="7" r:id="rId1"/>
    <sheet name="Variable Dictionary" sheetId="26" r:id="rId2"/>
    <sheet name="Calibration Dictionary" sheetId="27" r:id="rId3"/>
    <sheet name="Global Constants" sheetId="10" r:id="rId4"/>
    <sheet name="NVM" sheetId="25" state="hidden" r:id="rId5"/>
    <sheet name="Layered Module List" sheetId="9" state="hidden" r:id="rId6"/>
    <sheet name="Template" sheetId="28" r:id="rId7"/>
    <sheet name="Help" sheetId="11" r:id="rId8"/>
    <sheet name="DataValidationLists" sheetId="30" state="hidden" r:id="rId9"/>
  </sheets>
  <externalReferences>
    <externalReference r:id="rId10"/>
  </externalReferences>
  <definedNames>
    <definedName name="_xlnm._FilterDatabase" localSheetId="2" hidden="1">'Calibration Dictionary'!$A$1:$P$9</definedName>
    <definedName name="_xlnm._FilterDatabase" localSheetId="0" hidden="1">'Change Log'!$A$2:$D$4</definedName>
    <definedName name="_xlnm._FilterDatabase" localSheetId="3" hidden="1">'Global Constants'!$F$4:$BZ$193</definedName>
    <definedName name="_xlnm._FilterDatabase" localSheetId="7" hidden="1">Help!$B$1:$D$2</definedName>
    <definedName name="_xlnm._FilterDatabase" localSheetId="5" hidden="1">'Layered Module List'!$A$1:$F$73</definedName>
    <definedName name="_xlnm._FilterDatabase" localSheetId="4" hidden="1">NVM!$A$1:$J$104</definedName>
    <definedName name="_xlnm._FilterDatabase" localSheetId="1" hidden="1">'Variable Dictionary'!$A$1:$S$19</definedName>
    <definedName name="ComponentDTCMask">'[1]Calibration Dictionary'!#REF!</definedName>
    <definedName name="ComponentFltRsp">'[1]Calibration Dictionary'!#REF!</definedName>
    <definedName name="DataFlow" localSheetId="3">'Global Constants'!$F$5:$BZ$193</definedName>
    <definedName name="DataFlow">#REF!</definedName>
    <definedName name="DTCMask" localSheetId="2">'Calibration Dictionary'!#REF!</definedName>
    <definedName name="DTCMask" localSheetId="1">'Variable Dictionary'!#REF!</definedName>
    <definedName name="DTCMask">#REF!</definedName>
    <definedName name="FDDValList">DataValidationLists!$A$1:$A$101</definedName>
    <definedName name="FltRsp" localSheetId="2">'Calibration Dictionary'!#REF!</definedName>
    <definedName name="FltRsp" localSheetId="4">NVM!#REF!</definedName>
    <definedName name="FltRsp" localSheetId="1">'Variable Dictionary'!#REF!</definedName>
    <definedName name="FltRsp">#REF!</definedName>
    <definedName name="masterFddList" localSheetId="8">DataValidationLists!$A$1:$A$101</definedName>
    <definedName name="OLE_LINK11" localSheetId="2">'Calibration Dictionary'!#REF!</definedName>
    <definedName name="OLE_LINK11" localSheetId="4">NVM!#REF!</definedName>
    <definedName name="OLE_LINK11" localSheetId="1">'Variable Dictionary'!#REF!</definedName>
    <definedName name="OLE_LINK5" localSheetId="2">'Calibration Dictionary'!#REF!</definedName>
    <definedName name="OLE_LINK5" localSheetId="4">NVM!#REF!</definedName>
    <definedName name="OLE_LINK5" localSheetId="1">'Variable Dictionary'!#REF!</definedName>
    <definedName name="_xlnm.Print_Area" localSheetId="2">'Calibration Dictionary'!$A$1:$N$9</definedName>
    <definedName name="_xlnm.Print_Area" localSheetId="4">NVM!$A$1:$J$42</definedName>
    <definedName name="_xlnm.Print_Area" localSheetId="1">'Variable Dictionary'!$A$1:$P$19</definedName>
    <definedName name="_xlnm.Print_Titles" localSheetId="2">'Calibration Dictionary'!$1:$4</definedName>
    <definedName name="_xlnm.Print_Titles" localSheetId="5">'Layered Module List'!$1:$1</definedName>
    <definedName name="_xlnm.Print_Titles" localSheetId="4">NVM!$1:$4</definedName>
    <definedName name="_xlnm.Print_Titles" localSheetId="1">'Variable Dictionary'!$1:$4</definedName>
  </definedNames>
  <calcPr calcId="145621"/>
</workbook>
</file>

<file path=xl/calcChain.xml><?xml version="1.0" encoding="utf-8"?>
<calcChain xmlns="http://schemas.openxmlformats.org/spreadsheetml/2006/main">
  <c r="A1" i="7" l="1"/>
  <c r="A1" i="10" s="1"/>
  <c r="R3" i="27"/>
  <c r="R2" i="27"/>
  <c r="R1" i="27"/>
  <c r="A1" i="27" l="1"/>
  <c r="A1" i="26"/>
  <c r="A1" i="25"/>
</calcChain>
</file>

<file path=xl/comments1.xml><?xml version="1.0" encoding="utf-8"?>
<comments xmlns="http://schemas.openxmlformats.org/spreadsheetml/2006/main">
  <authors>
    <author>Terry Smith</author>
    <author>Owen Tosh (nzx5jd)</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List>
</comments>
</file>

<file path=xl/comments2.xml><?xml version="1.0" encoding="utf-8"?>
<comments xmlns="http://schemas.openxmlformats.org/spreadsheetml/2006/main">
  <authors>
    <author>Terry Smith</author>
    <author>Owen Tosh (nzx5jd)</author>
  </authors>
  <commentList>
    <comment ref="A4" authorId="0">
      <text>
        <r>
          <rPr>
            <b/>
            <sz val="10"/>
            <color indexed="81"/>
            <rFont val="Tahoma"/>
            <family val="2"/>
          </rPr>
          <t xml:space="preserve">Calibration Naming Restrictioons: 
Name must be unique.
Array names must have numeric initalizers i.e. name[5] not name[d_size]
Structures must be defined first, then all structure elements on following rows
</t>
        </r>
      </text>
    </comment>
    <comment ref="B4" authorId="0">
      <text>
        <r>
          <rPr>
            <b/>
            <sz val="10"/>
            <color indexed="81"/>
            <rFont val="Tahoma"/>
            <family val="2"/>
          </rPr>
          <t xml:space="preserve">Standard Reference Name Restrictions:
The SRN is used in A2L file generation only.
This field is placed in the DISPLAYNAME Tag.
Names may contain [ ] . _ 
Any spaces in the name will be replaced with the underscore '_'
Limited to 128 characters between '.'
</t>
        </r>
      </text>
    </comment>
    <comment ref="D4" authorId="0">
      <text>
        <r>
          <rPr>
            <b/>
            <sz val="10"/>
            <color indexed="81"/>
            <rFont val="Tahoma"/>
            <family val="2"/>
          </rPr>
          <t>FDD Reference Restrictions:
This field is used to organize the A2L file.
Names may contain [ ] . _ 
Any spaces in the name will be replaced with the underscore '_'
Limited to 128 characters between '.'</t>
        </r>
      </text>
    </comment>
    <comment ref="E4" authorId="0">
      <text>
        <r>
          <rPr>
            <b/>
            <sz val="10"/>
            <color indexed="81"/>
            <rFont val="Tahoma"/>
            <family val="2"/>
          </rPr>
          <t>Description Restriction:
This field is used in the A2L file only.
This field is limited to 255 characters.</t>
        </r>
      </text>
    </comment>
    <comment ref="H4" authorId="1">
      <text>
        <r>
          <rPr>
            <sz val="8"/>
            <color indexed="81"/>
            <rFont val="Tahoma"/>
            <family val="2"/>
          </rPr>
          <t>1X, 1Y, 1Z, 1I, 1BS, 2X, 2Y, 2Z, 2I, 2BS, etc.
Numeric indicators must be unique for each 'X' and 'Y' indicator.</t>
        </r>
      </text>
    </comment>
    <comment ref="I4" authorId="0">
      <text>
        <r>
          <rPr>
            <b/>
            <sz val="10"/>
            <color indexed="81"/>
            <rFont val="Tahoma"/>
            <family val="2"/>
          </rPr>
          <t>Default Value Restrictions:
The Default value is used in Calconstants.c file generation.
The number of entries must match the array size specifyer in the name.
Multidimentional arrays are supported with '{' and '}'
Sufixes are not needed, the DD will append them as needed.</t>
        </r>
      </text>
    </comment>
    <comment ref="J4" authorId="0">
      <text>
        <r>
          <rPr>
            <b/>
            <sz val="10"/>
            <color indexed="81"/>
            <rFont val="Tahoma"/>
            <family val="2"/>
          </rPr>
          <t xml:space="preserve">Must be numeric value or "FULL" or "N/A" (not case sensitive.)
Numeric value must be within range of data type.
</t>
        </r>
      </text>
    </comment>
    <comment ref="K4" authorId="0">
      <text>
        <r>
          <rPr>
            <b/>
            <sz val="10"/>
            <color indexed="81"/>
            <rFont val="Tahoma"/>
            <family val="2"/>
          </rPr>
          <t xml:space="preserve">Must be numeric value or "FULL" or "N/A" (not case sensitive.)
Numeric value must be within range of data type.
</t>
        </r>
        <r>
          <rPr>
            <sz val="10"/>
            <color indexed="81"/>
            <rFont val="Tahoma"/>
            <family val="2"/>
          </rPr>
          <t xml:space="preserve">
</t>
        </r>
      </text>
    </comment>
    <comment ref="L4" authorId="0">
      <text>
        <r>
          <rPr>
            <sz val="10"/>
            <color indexed="81"/>
            <rFont val="Tahoma"/>
            <family val="2"/>
          </rPr>
          <t xml:space="preserve">Units Restriction:
String value used in A2L file genreation.
Limited to 128 characters.
</t>
        </r>
      </text>
    </comment>
    <comment ref="M4" authorId="0">
      <text>
        <r>
          <rPr>
            <b/>
            <sz val="10"/>
            <color indexed="81"/>
            <rFont val="Tahoma"/>
            <family val="2"/>
          </rPr>
          <t>Data Type Restriction:
Must be a known data type or assumed to be a enum unless followed by structure element definitions.
For all entries except Structure Element Ros, the Data Type field is used in Calconstants.c file generation. 
For all entries containing known data types, the Data type will be used to create and entry in the A2L file.
Known Data Types:
Boolean
Float32
UINT8/16/32
SINT8/16/32
Fixed Point types (i.e. u8p8_T)</t>
        </r>
      </text>
    </comment>
  </commentList>
</comments>
</file>

<file path=xl/connections.xml><?xml version="1.0" encoding="utf-8"?>
<connections xmlns="http://schemas.openxmlformats.org/spreadsheetml/2006/main">
  <connection id="1" name="Connection" type="4" refreshedVersion="4"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<sst xmlns="http://schemas.openxmlformats.org/spreadsheetml/2006/main" count="1179" uniqueCount="465">
  <si>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</si>
  <si>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</si>
  <si>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</si>
  <si>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</si>
  <si>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</si>
  <si>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</si>
  <si>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</si>
  <si>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</si>
  <si>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</si>
  <si>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</si>
  <si>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</si>
  <si>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</si>
  <si>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</si>
  <si>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</si>
  <si>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</si>
  <si>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</si>
  <si>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</si>
  <si>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</si>
  <si>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</si>
  <si>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</si>
  <si>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</si>
  <si>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</si>
  <si>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</si>
  <si>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</si>
  <si>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</si>
  <si>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</si>
  <si>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</si>
  <si>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</si>
  <si>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</si>
  <si>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</si>
  <si>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</si>
  <si>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</si>
  <si>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</si>
  <si>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</si>
  <si>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</si>
  <si>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</si>
  <si>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</si>
  <si>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</si>
  <si>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</si>
  <si>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</si>
  <si>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</si>
  <si>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</si>
  <si>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</si>
  <si>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</si>
  <si>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</si>
  <si>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</si>
  <si>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</si>
  <si>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</si>
  <si>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</si>
  <si>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</si>
  <si>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</si>
  <si>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</si>
  <si>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</si>
  <si>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</si>
  <si>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</si>
  <si>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</si>
  <si>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</si>
  <si>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</si>
  <si>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</si>
  <si>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</si>
  <si>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</si>
  <si>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</si>
  <si>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</si>
  <si>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</si>
  <si>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</si>
  <si>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</si>
  <si>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</si>
  <si>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</si>
  <si>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</si>
  <si>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</si>
  <si>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</si>
  <si>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</si>
  <si>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</si>
  <si>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</si>
  <si>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</si>
  <si>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</si>
  <si>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</si>
  <si>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</si>
  <si>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</si>
  <si>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</si>
  <si>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</si>
  <si>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</si>
  <si>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</si>
  <si>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</si>
  <si>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</si>
  <si>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</si>
  <si>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</si>
  <si>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</si>
  <si>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</si>
  <si>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</si>
  <si>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</si>
  <si>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</si>
  <si>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</si>
  <si>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</si>
  <si>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</si>
  <si>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</si>
  <si>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</si>
  <si>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</si>
  <si>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</si>
  <si>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</si>
  <si>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</si>
  <si>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</si>
  <si>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</si>
  <si>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</si>
  <si>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</si>
  <si>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</si>
  <si>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&lt;NONCRITICAL&gt;
k_N_CalNC_Cnt_Str.&lt;ROOTNAME&gt;
&lt;NONCRITICAL&gt;
&lt;SAFETYCRITICAL&gt;
k_S_CalSC_Cnt_Str.&lt;ROOTNAME&gt;
&lt;SAFETYCRITICAL&gt;</t>
  </si>
  <si>
    <t>&lt;NONCRITICAL&gt;
k_N_CalNC_Cnt_Str.Personality[L3_S_CalPersSelect_Cnt_G_u16].&lt;ROOTNAME&gt;
&lt;NONCRITICAL&gt;
&lt;SAFETYCRITICAL&gt;
k_S_CalSC_Cnt_Str.SC_Personality[L3_S_CalPersSelect_Cnt_G_u16].&lt;ROOTNAME&gt;
&lt;SAFETYCRITICAL&gt;</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</si>
  <si>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</si>
  <si>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</si>
  <si>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</si>
  <si>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</si>
  <si>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</si>
  <si>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</si>
  <si>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</si>
  <si>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</si>
  <si>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</si>
  <si>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</si>
  <si>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</si>
  <si>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</si>
  <si>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</si>
  <si>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</si>
  <si>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</si>
  <si>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</si>
  <si>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</si>
  <si>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</si>
  <si>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</si>
  <si>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</si>
  <si>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</si>
  <si>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</si>
  <si>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</si>
  <si>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</si>
  <si>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</si>
  <si>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&lt;NONCRITICAL&gt;
#define &lt;ROOTNAME&gt;&lt;TAB&gt;k_N_CalNC_Cnt_Str.&lt;ROOTNAME&gt;
&lt;NONCRITICAL&gt;
&lt;SAFETYCRITICAL&gt;
#define &lt;ROOTNAME&gt;&lt;TAB&gt;k_S_CalSC_Cnt_Str.&lt;ROOTNAME&gt;
&lt;SAFETYCRITICAL&gt;</t>
  </si>
  <si>
    <t>&lt;NONCRITICAL&gt;
#define &lt;ROOTNAME&gt;&lt;TAB&gt;k_N_CalNC_Cnt_Str.Personality[L3_S_CalPersSelect_Cnt_G_u16].&lt;ROOTNAME&gt;
&lt;NONCRITICAL&gt;
&lt;SAFETYCRITICAL&gt;
#define &lt;ROOTNAME&gt;&lt;TAB&gt;k_S_CalSC_Cnt_Str.SC_Personality[L3_S_CalPersSelect_Cnt_G_u16].&lt;ROOTNAME&gt;
&lt;SAFETYCRITICAL&gt;</t>
  </si>
  <si>
    <t>DFD Page</t>
  </si>
  <si>
    <t>Standard Reference Name</t>
  </si>
  <si>
    <t>OEM</t>
  </si>
  <si>
    <t>Min</t>
  </si>
  <si>
    <t>Max</t>
  </si>
  <si>
    <t>I</t>
  </si>
  <si>
    <t>Variable Information</t>
  </si>
  <si>
    <t>O</t>
  </si>
  <si>
    <t>M</t>
  </si>
  <si>
    <t>Software Variable Name</t>
  </si>
  <si>
    <t>D</t>
  </si>
  <si>
    <t>Address</t>
  </si>
  <si>
    <t>Size (Bytes)</t>
  </si>
  <si>
    <t>Component</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</si>
  <si>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</si>
  <si>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</si>
  <si>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</si>
  <si>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</si>
  <si>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</si>
  <si>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</si>
  <si>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</si>
  <si>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</si>
  <si>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</si>
  <si>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</si>
  <si>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</si>
  <si>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</si>
  <si>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</si>
  <si>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</si>
  <si>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</si>
  <si>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</si>
  <si>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</si>
  <si>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Default Value</t>
  </si>
  <si>
    <t>Graph Settings</t>
  </si>
  <si>
    <t>SER</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</si>
  <si>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</si>
  <si>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</si>
  <si>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</si>
  <si>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</si>
  <si>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</si>
  <si>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</si>
  <si>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</si>
  <si>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</si>
  <si>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</si>
  <si>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</si>
  <si>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</si>
  <si>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</si>
  <si>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</si>
  <si>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</si>
  <si>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FDD10C StatesandModes</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</si>
  <si>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</si>
  <si>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</si>
  <si>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</si>
  <si>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</si>
  <si>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</si>
  <si>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</si>
  <si>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</si>
  <si>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</si>
  <si>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</si>
  <si>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FDD37B Diagnostic Manager</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</si>
  <si>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</si>
  <si>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</si>
  <si>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</si>
  <si>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</si>
  <si>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</si>
  <si>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</si>
  <si>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</si>
  <si>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</si>
  <si>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</si>
  <si>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</si>
  <si>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</si>
  <si>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</si>
  <si>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</si>
  <si>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</si>
  <si>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</si>
  <si>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</si>
  <si>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</si>
  <si>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</si>
  <si>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</si>
  <si>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</si>
  <si>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</si>
  <si>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</si>
  <si>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</si>
  <si>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</si>
  <si>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</si>
  <si>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</si>
  <si>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</si>
  <si>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</si>
  <si>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</si>
  <si>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</si>
  <si>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</si>
  <si>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</si>
  <si>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SF99 MotorControl</t>
  </si>
  <si>
    <t xml:space="preserve">None </t>
  </si>
  <si>
    <t>Jared</t>
  </si>
  <si>
    <t>Initial component creation</t>
  </si>
  <si>
    <t>k_StepDetect_deg</t>
  </si>
  <si>
    <t>The frequency cutoff for the low pass filter of the I2C Column Angle input signal.</t>
  </si>
  <si>
    <t>The frequency cutoff for the low pass filter of the I2C Pinion Gear Angle input signal.</t>
  </si>
  <si>
    <t>The Step Change from either sensor in degrees that causes the LPF filter to be skipped</t>
  </si>
  <si>
    <t xml:space="preserve"> k_SelectFromColumn</t>
  </si>
  <si>
    <t>Select Final HW position from the Column (ring magnet) Position sensor when true.  Otherwise use the Pinion (puck magnet) position sensor.</t>
  </si>
  <si>
    <t>The threshold in degrees for detecting the Vernier Correlation diagnostic fault.  At angle differential calculations at or above this value a failure is detected.</t>
  </si>
  <si>
    <t xml:space="preserve">hreshold for the count  of samples above the VernErrorThresh_deg that causes a failure to be detected. </t>
  </si>
  <si>
    <t>P-Step type control of Vernier Correlation diagnostic detection samples.  A setting of this calibration to zero will disable this diagnostic</t>
  </si>
  <si>
    <t>N-Step type  control of Vernier Correlation diagnostic detection samples</t>
  </si>
  <si>
    <t>n/a</t>
  </si>
  <si>
    <t>Cnt</t>
  </si>
  <si>
    <t>boolean</t>
  </si>
  <si>
    <t>k_SelectFromColumn_Cnt_lgc</t>
  </si>
  <si>
    <t>k_ColAngSenseLPFFc_Hz_f32</t>
  </si>
  <si>
    <t>Hz</t>
  </si>
  <si>
    <t>Deg</t>
  </si>
  <si>
    <t>k_StepDetect_Deg_f32</t>
  </si>
  <si>
    <t>float32</t>
  </si>
  <si>
    <t>DiagSettings_str for Vern Error</t>
  </si>
  <si>
    <t>DiagSettings_Str</t>
  </si>
  <si>
    <t>uint16</t>
  </si>
  <si>
    <t>k_SenseDetErr.Thresh_cnt</t>
  </si>
  <si>
    <t>k_SenseDetErr.Pstep</t>
  </si>
  <si>
    <t>k_SenseDetErr.Nstep</t>
  </si>
  <si>
    <t>SenseParityErr.Thresh_cnt</t>
  </si>
  <si>
    <t>SenseParityErr.Pstep</t>
  </si>
  <si>
    <t>SenseParityErr.Nstep</t>
  </si>
  <si>
    <t xml:space="preserve">N-Step type control of parity fault detection samples.  </t>
  </si>
  <si>
    <t>P-Step type control of Parity fault detection samples.  A setting of this calibration to zero will disable this diagnostic</t>
  </si>
  <si>
    <t xml:space="preserve">Threshold for the count of I2C Parity faults that causes a failure to be detected. </t>
  </si>
  <si>
    <t xml:space="preserve">N-Step type control of sensor fault detection samples.  </t>
  </si>
  <si>
    <t>P-Step type control of sensor fault detection samples.  A setting of this calibration to zero will disable this diagnostic</t>
  </si>
  <si>
    <t xml:space="preserve">Threshold for the count of angle readings that include a sensor fault that causes a failure to be detected. </t>
  </si>
  <si>
    <t>k_SenseParityErrDiag_Cnt_str</t>
  </si>
  <si>
    <t>k_SenseDetErrDiag_Cnt_str</t>
  </si>
  <si>
    <t>k_SenseDetErrDiag_Cnt_str.Threshold</t>
  </si>
  <si>
    <t>k_SenseDetErrDiag_Cnt_str.PStep</t>
  </si>
  <si>
    <t>k_SenseDetErrDiag_Cnt_str.NStep</t>
  </si>
  <si>
    <t>k_SenseParityErrDiag_Cnt_str.Threshold</t>
  </si>
  <si>
    <t>k_SenseParityErrDiag_Cnt_str.PStep</t>
  </si>
  <si>
    <t>k_SenseParityErrDiag_Cnt_str.NStep</t>
  </si>
  <si>
    <t>k_SpurAngSenseLPFFc_Hz_f32</t>
  </si>
  <si>
    <t>k_I2CHW_ColAngSenseLPF_fc</t>
  </si>
  <si>
    <t>k_I2CHW_SpurAngSenseLPF_fc</t>
  </si>
  <si>
    <t>k_I2CHW_VernOORangeThresh_deg</t>
  </si>
  <si>
    <t>The threshold in degrees for detecting the Vernier Out Of Range diagnostic fault.  With an Absolute HW angle difference between the current and previous reading above this value a failure is detected. This is a roll beyond the 5 revolutions of range.</t>
  </si>
  <si>
    <t>k_VernOORangeThresh_Deg_f32</t>
  </si>
  <si>
    <t>k_VernCorrErrorDiag_Cnt_str</t>
  </si>
  <si>
    <t>k_VernCorrErrorDiag_Cnt_str.Threshold</t>
  </si>
  <si>
    <t>k_VernCorrErrorDiag_Cnt_str.PStep</t>
  </si>
  <si>
    <t>k_VernCorrErrorDiag_Cnt_str.NStep</t>
  </si>
  <si>
    <t>k_I2CHW_VernCorrErrPStep</t>
  </si>
  <si>
    <t>k_I2CHW_VernCorrErrNStep</t>
  </si>
  <si>
    <t>k_I2CHW_VernCorrErrThresh_cnt</t>
  </si>
  <si>
    <t>k_VernCorrErrorThresh_Deg_f32</t>
  </si>
  <si>
    <t>k_I2CHW_VernCorrErrThresh_deg</t>
  </si>
  <si>
    <t>k_I2CHW_SkipStepErrThresh_cnt</t>
  </si>
  <si>
    <t>k_I2CHW_SkipStepErrPStep</t>
  </si>
  <si>
    <t>k_I2CHW_SkipStepErrNStep</t>
  </si>
  <si>
    <t>k_SkipStepErrDiag_Cnt_str</t>
  </si>
  <si>
    <t>k_SkipStepErrDiag_Cnt_str.Threshold</t>
  </si>
  <si>
    <t>k_SkipStepErrDiag_Cnt_str.Pstep</t>
  </si>
  <si>
    <t>k_SkipStepErrDiag_Cnt_str.Nstep</t>
  </si>
  <si>
    <t>P-Step type control of the Skipped Step diagnostic detection samples.  A setting of this calibration to zero will disable this diagnostic</t>
  </si>
  <si>
    <t>Threshold for the Fault accumulator for a COMBINATION of BOTH the Vernier Correlation Error and Skip Step events.  Above this value a Vernier Error diagnostic is set with either or both of theVernier Correlation error and the Skip Step error parameter bitsset.</t>
  </si>
  <si>
    <t>N-Step type control of Vernier Correlation diagnostic detection samples.</t>
  </si>
  <si>
    <t>SF00 CommonCalibrations</t>
  </si>
  <si>
    <t>CF01 FordLaneAssist</t>
  </si>
  <si>
    <t>CF02 FordActiveNibbleControl</t>
  </si>
  <si>
    <t>CF03 FordTrailerBackupAssistant</t>
  </si>
  <si>
    <t>CF04 FordArbiterLimiter</t>
  </si>
  <si>
    <t>CF05 ChryslerArbiterLimiter</t>
  </si>
  <si>
    <t>CF06 BMWCurrentLimit</t>
  </si>
  <si>
    <t>FDD04C DigitalHWTorqueSENT</t>
  </si>
  <si>
    <t>FDD05G I2CAbsoluteHandwheelPositionFunction</t>
  </si>
  <si>
    <t>FDD16 OverVoltageMonitor</t>
  </si>
  <si>
    <t>FDD32B uCDiagnostics</t>
  </si>
  <si>
    <t>FDD40C TorqueOverlay</t>
  </si>
  <si>
    <t>FDD41A NibbleRejection</t>
  </si>
  <si>
    <t>FDD48 FlexrayErrorIndicationInterface</t>
  </si>
  <si>
    <t>FDD49 SineVoltageGenerationDiagnostics</t>
  </si>
  <si>
    <t>FDD50A DigiMSB</t>
  </si>
  <si>
    <t>FDD98 TurnsCounterReflash</t>
  </si>
  <si>
    <t>DF01 FaultInjection</t>
  </si>
  <si>
    <t>SF23 TuningSelectAuthority</t>
  </si>
  <si>
    <t>SF27 EOTDampingFirewall</t>
  </si>
  <si>
    <t>SF31 TorqueReasonablenessDiagnostic</t>
  </si>
  <si>
    <t>SF33 VehicleSpeedConditioning</t>
  </si>
  <si>
    <t>SF34 AssistFirewall</t>
  </si>
  <si>
    <t>SF35 DampingFirewall</t>
  </si>
  <si>
    <t>SF36 ReturnFirewall</t>
  </si>
  <si>
    <t>SF37 GlobalSignalOverwriteDetection</t>
  </si>
  <si>
    <t>SF38 LimiterConditioning</t>
  </si>
  <si>
    <t>SF39 LearnRackCenter</t>
  </si>
  <si>
    <t>SF40AB MotorVelocity</t>
  </si>
  <si>
    <t>k_I2CHW_ColSenseI2CAddress</t>
  </si>
  <si>
    <t>k_I2CHW_SpurSenseI2CAddress</t>
  </si>
  <si>
    <t>k_ColSensorI2CAddress_Cnt_u08</t>
  </si>
  <si>
    <t>Address on the I2C bus for the Column (ring magnet) sensor</t>
  </si>
  <si>
    <t>Address on the I2C bus for the Spur (puck magnet) sensor</t>
  </si>
  <si>
    <t>uint8</t>
  </si>
  <si>
    <t>k_SpurSensorI2CAddress_Cnt_u08</t>
  </si>
  <si>
    <t>N/A</t>
  </si>
  <si>
    <t>Uls</t>
  </si>
  <si>
    <t>Single precision Float</t>
  </si>
  <si>
    <t>FULL</t>
  </si>
  <si>
    <t>LPF32KSV_Str</t>
  </si>
  <si>
    <t>DigColPosSnsr.c - Variables</t>
  </si>
  <si>
    <t>DigColPosSnsrInt.c - Variables</t>
  </si>
  <si>
    <t>CommStepType</t>
  </si>
  <si>
    <t>{0,0,0}</t>
  </si>
  <si>
    <t>6 Sig. Digits</t>
  </si>
  <si>
    <t>I2CHWAbsPos_HwDeg</t>
  </si>
  <si>
    <t>I2CHWAbsPosValid_Lgc</t>
  </si>
  <si>
    <t>HwDeg</t>
  </si>
  <si>
    <t>DigColPs_I2CHwColAngle_Deg_M_f32</t>
  </si>
  <si>
    <t>DigColPs_I2CHwSpurAngle_Deg_M_f32</t>
  </si>
  <si>
    <t>DigColPs_PrevI2CHwColAngle_Deg_M_f32</t>
  </si>
  <si>
    <t>DigColPs_PrevI2CHwSpurAngle_Deg_M_f32</t>
  </si>
  <si>
    <t>DigColPs_PrevColPos_Deg_M_f32</t>
  </si>
  <si>
    <t>DigColPs_ColSensorFaultAcc_Cnt_M_u16</t>
  </si>
  <si>
    <t>DigColPs_ColParityErrorAcc_Cnt_M_u16</t>
  </si>
  <si>
    <t>DigColPs_VernCorrDetectAcc_Cnt_M_u16</t>
  </si>
  <si>
    <t>DigColPs_SkipStepFltDetectAcc_Cnt_M_u16</t>
  </si>
  <si>
    <t>DigColPs_SpurSensorFaultAcc_Cnt_M_u16</t>
  </si>
  <si>
    <t>DigColPs_SpurParityErrorAcc_Cnt_M_u16</t>
  </si>
  <si>
    <t>DigColPs_I2CHwColAngle_Cnt_M_u16</t>
  </si>
  <si>
    <t>DigColPs_I2CHwSpurAngle_Cnt_M_u16</t>
  </si>
  <si>
    <t>DigColPs_PrevI2CHwColAngle_Cnt_M_u16</t>
  </si>
  <si>
    <t>DigColPs_PrevI2CHwSpurAngle_Cnt_M_u16</t>
  </si>
  <si>
    <t>DigColPs_I2CHwDataType_Cnt_M_u08</t>
  </si>
  <si>
    <t>DigColPs_I2CSensCommFlts_Cnt_M_u08</t>
  </si>
  <si>
    <t>DigColPs_ReqI2CSnsrDataType_Cnt_M_u08</t>
  </si>
  <si>
    <t>DigColPs_PrevVernierLevelNo_Cnt_M_u08</t>
  </si>
  <si>
    <t>DigColPs_ColSensorDiagFailed_Cnt_M_lgc</t>
  </si>
  <si>
    <t>DigColPs_SpurSensorDiagFailed_Cnt_M_lgc</t>
  </si>
  <si>
    <t>DigColPs_I2CColSensorFault_Cnt_M_lgc</t>
  </si>
  <si>
    <t>DigColPs_I2CSpurSensorFault_Cnt_M_lgc</t>
  </si>
  <si>
    <t>DigColPs_ColParityError_Cnt_M_lgc</t>
  </si>
  <si>
    <t>DigColPs_SpurParityError_Cnt_M_lgc</t>
  </si>
  <si>
    <t>DigColPs_PrevAngleDataAvailable_Cnt_M_lgc</t>
  </si>
  <si>
    <t>DigColPs_VernierAngleOORange_Cnt_M_lgc</t>
  </si>
  <si>
    <t>DigColPs_ColAngleLPFKSV_Cnt_M_str</t>
  </si>
  <si>
    <t>DigColPs_ColAngleLPFKSV_Cnt_M_str.K_Uls_f32</t>
  </si>
  <si>
    <t>DigColPs_ColAngleLPFKSV_Cnt_M_str.SV_Uls_f32</t>
  </si>
  <si>
    <t>DigColPs_SpurAngleLPFKSV_Cnt_M_str</t>
  </si>
  <si>
    <t>DigColPs_SpurAngleLPFKSV_Cnt_M_str.K_Uls_f32</t>
  </si>
  <si>
    <t>DigColPs_SpurAngleLPFKSV_Cnt_M_str.SV_Uls_f32</t>
  </si>
  <si>
    <t>DigColPs_CurrentStepNo_Cnt_M_enum</t>
  </si>
  <si>
    <t>DigColPs_ColSnsrData_Cnt_M_u16</t>
  </si>
  <si>
    <t>DigColPs_SpurSnsrData_Cnt_M_u16</t>
  </si>
  <si>
    <t>DigColPs_CurrentSlave_Cnt_M_u08</t>
  </si>
  <si>
    <t>DigColPs_RecvdDataType_Cnt_M_u08</t>
  </si>
  <si>
    <t>DigColPs_Buffer_Cnt_M_u08[]</t>
  </si>
  <si>
    <t>DigColPs_PrevReqDataType_Cnt_M_u08</t>
  </si>
  <si>
    <t>DigColPs_TransactionCnt_Cnt_M_u08</t>
  </si>
  <si>
    <t>DigColPs_PrevTransactionCnt_Cnt_M_u08</t>
  </si>
  <si>
    <t>DigColPs_InitFailedOnce_Cnt_M_lgc</t>
  </si>
  <si>
    <t>DigColPs_BusBusySeqError_Cnt_M_lgc</t>
  </si>
  <si>
    <t>DigColPs_NackOccured_Cnt_M_lgc</t>
  </si>
  <si>
    <t>DigColPs_SkipRegisterWrite_Cnt_M_lgc</t>
  </si>
  <si>
    <t>Rte_Pim_DigColPsEOL()-&gt;R_TrimCom_Cnt_u16</t>
  </si>
  <si>
    <t>DigColPosSnsrEOLType()-&gt;ColTrim_Deg_f32</t>
  </si>
  <si>
    <t>DigColPosSnsrEOLType()-&gt;SpurTrim_Deg_f32</t>
  </si>
  <si>
    <t>DigColPosSnsrEOLType()-&gt;TrimComp_Cnt_u16</t>
  </si>
  <si>
    <t>Rte_Pim_DigColPsEOL()-&gt;R_ColTrim_Cnt_u32</t>
  </si>
  <si>
    <t>Rte_Pim_DigColPsEOL()-&gt;R_SpurTrim_Cnt_u32</t>
  </si>
  <si>
    <t>uint32</t>
  </si>
  <si>
    <t>I2CHwAbsPos_HwDeg_f32</t>
  </si>
  <si>
    <t>I2CHwAbsPosValid_Cnt_lgc</t>
  </si>
  <si>
    <t>ES-20D - Digital (I2C) Column Position Sensor</t>
  </si>
  <si>
    <t>CF11 BMW_TJA_Damping</t>
  </si>
  <si>
    <t>FDD04D AnalogPressureMeasurement</t>
  </si>
  <si>
    <t>SF42 VehicleDynamics</t>
  </si>
  <si>
    <t>HS33 CoilPIControl</t>
  </si>
  <si>
    <t>Addition of module variables and output to support anomaly corrections</t>
  </si>
  <si>
    <t>DigColPs_ColLPFInitDone_Cnt_M_lgc</t>
  </si>
  <si>
    <t>DigColPs_SpurLPFInitDone_Cnt_M_lgc</t>
  </si>
  <si>
    <t>Rijvi</t>
  </si>
  <si>
    <t>DigColPs_ColTrimStatic_Deg_M_f32</t>
  </si>
  <si>
    <t>DigColPs_SpurTrimStatic_Deg_M_f32</t>
  </si>
  <si>
    <t>DigColPs_ColAngle_Deg_D_f32</t>
  </si>
  <si>
    <t>DigColPs_SpurAngle_Deg_D_f32</t>
  </si>
  <si>
    <t>DigColPs_VernierLevel_Deg_D_f32</t>
  </si>
  <si>
    <t>DigColPs_TrimCompStatic_Cnt_M_u16</t>
  </si>
  <si>
    <t>DigColPsInt_InitialTime_mS_M_u32</t>
  </si>
  <si>
    <t>DigColPsInt_ColSnsrErrData_Cnt_D_u16</t>
  </si>
  <si>
    <t>DigColPsInt_ColSnsrExtErrData_Cnt_D_u16</t>
  </si>
  <si>
    <t>DigColPsInt_ColSnsrCheckStatData_Cnt_D_u16</t>
  </si>
  <si>
    <t>DigColPsInt_SpurSnsrErrData_Cnt_D_u16</t>
  </si>
  <si>
    <t>DigColPsInt_SpurSnsrExtErrData_Cnt_D_u16</t>
  </si>
  <si>
    <t>DigColPsInt_SpurSnsrCheckStatData_Cnt_D_u16</t>
  </si>
  <si>
    <t>DigColPsInt_RecvOverrunError_Cnt_M_lgc</t>
  </si>
  <si>
    <t>DigColPsInt_SensInitialized_Cnt_M_lgc</t>
  </si>
  <si>
    <t>mS</t>
  </si>
  <si>
    <t>DigColPs_HwAVernCorrFault_Cnt_M_lgc</t>
  </si>
  <si>
    <t>DigColPs_ColRoughTurns_Cnt_M_s16</t>
  </si>
  <si>
    <t>DigColPs_SpurRoughTurns_Cnt_M_s16</t>
  </si>
  <si>
    <t>int16</t>
  </si>
  <si>
    <t>DigColPs_VernDiagError_Deg_D_f32</t>
  </si>
  <si>
    <t>Addition of some module and display variables. Deletion of two module level variables. DigColPs_I2CHwColAngleTrim_Deg_M_f32, DigColPs_I2CHwSpurAngleTrim_Deg_M_f32</t>
  </si>
  <si>
    <t>DigColPsInt_I2CHwCustData_Uls_M_u16</t>
  </si>
  <si>
    <t>DigColPsInt_I2CHwIncompleteCustData_Uls_M_u16</t>
  </si>
  <si>
    <t>DigColPsInt_AttempOccurForCustDatRead_Cnt_M_u08</t>
  </si>
  <si>
    <t>DigColPsInt_CmdFailOccurred_Cnt_M_lgc</t>
  </si>
  <si>
    <t>DigColPsInt_ColCustDatFound_Cnt_M_lgc</t>
  </si>
  <si>
    <t>DigColPsInt_SpurCustDatFound_Cnt_M_lgc</t>
  </si>
  <si>
    <t>DigColPs_I2CHwTrimTransCnts_Uls_M_u08</t>
  </si>
  <si>
    <t>Addition of 10 new module variables to implement FDD rev.005</t>
  </si>
  <si>
    <t>TrimComp_Cnt_lgc</t>
  </si>
  <si>
    <t>MecState_Cnt_enum</t>
  </si>
  <si>
    <t>ManufModeType</t>
  </si>
  <si>
    <t>Addition of a new module variable to implement FDD rev.006</t>
  </si>
  <si>
    <t>DigColPs_I2CHwColAngleForTrim_Deg_M_f32</t>
  </si>
  <si>
    <t xml:space="preserve">Selva </t>
  </si>
  <si>
    <t>Updated for v7 of the FDD</t>
  </si>
  <si>
    <t>CF09 GMOverlayStateHandler</t>
  </si>
  <si>
    <t>CF10 GMTorqueArbitrator</t>
  </si>
  <si>
    <t>ES34C NhetTimer_for_Brush</t>
  </si>
  <si>
    <t>FDD13B HwPwUpSeq</t>
  </si>
  <si>
    <t>SFD20 ParkAsstManufacturingServices</t>
  </si>
  <si>
    <t>HS09 ThermalManagement</t>
  </si>
  <si>
    <t>SF43 TorqueOscillation</t>
  </si>
  <si>
    <t>SF44 HandsOnWheelDetect</t>
  </si>
  <si>
    <t>k_I2CHW_InitTransactionTime_Sec</t>
  </si>
  <si>
    <t>Time period to determine if initialization failed to complete to indicate a fault.</t>
  </si>
  <si>
    <t>Sec</t>
  </si>
  <si>
    <t>k_I2CHWInitTransactionTime_Sec_f32</t>
  </si>
  <si>
    <t>Removed now unused CustData module level variable and CmdFail variables</t>
  </si>
  <si>
    <t>DigColPs_I2CHwColAngleTrim_Deg_D_f32</t>
  </si>
  <si>
    <t>DigColPs_I2CHwSpurAngleTrim_Deg_D_f32</t>
  </si>
  <si>
    <t>DigColPs_I2CHWSpurPos_HwDeg_D_f32</t>
  </si>
  <si>
    <t>Updated for  v9, v10, v11 of the FDD</t>
  </si>
  <si>
    <t>Updated for ranges based on UTP comments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</si>
</sst>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24" x14ac:knownFonts="1">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name val="Calibri"/>
      <family val="2"/>
      <scheme val="minor"/>
    </font>
    <font>
      <sz val="8"/>
      <color rgb="FF000000"/>
      <name val="Calibri"/>
      <family val="2"/>
      <scheme val="minor"/>
    </font>
    <font>
      <sz val="8"/>
      <color indexed="81"/>
      <name val="Tahoma"/>
      <family val="2"/>
    </font>
    <font>
      <sz val="10"/>
      <color indexed="81"/>
      <name val="Tahoma"/>
      <family val="2"/>
    </font>
    <font>
      <sz val="10"/>
      <name val="Calibri"/>
      <family val="2"/>
    </font>
    <font>
      <sz val="8"/>
      <color rgb="FFFF0000"/>
      <name val="Calibri"/>
      <family val="2"/>
      <scheme val="minor"/>
    </font>
    <font>
      <sz val="8"/>
      <color rgb="FFFF0000"/>
      <name val="Arial"/>
      <family val="2"/>
    </font>
    <font>
      <sz val="10"/>
      <color rgb="FFFF0000"/>
      <name val="Arial"/>
      <family val="2"/>
    </font>
  </fonts>
  <fills count="16">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
      <patternFill patternType="solid">
        <fgColor theme="0" tint="-0.34998626667073579"/>
        <bgColor indexed="64"/>
      </patternFill>
    </fill>
    <fill>
      <patternFill patternType="solid">
        <fgColor rgb="FFFFFF00"/>
        <bgColor indexed="64"/>
      </patternFill>
    </fill>
    <fill>
      <patternFill patternType="solid">
        <fgColor theme="5" tint="0.59999389629810485"/>
        <bgColor indexed="64"/>
      </patternFill>
    </fill>
    <fill>
      <patternFill patternType="solid">
        <fgColor theme="0"/>
        <bgColor indexed="64"/>
      </patternFill>
    </fill>
  </fills>
  <borders count="70">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
      <left style="double">
        <color indexed="64"/>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diagonal/>
    </border>
    <border>
      <left style="double">
        <color indexed="64"/>
      </left>
      <right/>
      <top style="thin">
        <color indexed="64"/>
      </top>
      <bottom style="thin">
        <color indexed="64"/>
      </bottom>
      <diagonal/>
    </border>
  </borders>
  <cellStyleXfs count="3">
    <xf numFmtId="0" fontId="0" fillId="0" borderId="0"/>
    <xf numFmtId="0" fontId="1" fillId="2" borderId="1" applyFont="0" applyAlignment="0">
      <alignment horizontal="center"/>
    </xf>
    <xf numFmtId="0" fontId="4" fillId="0" borderId="0"/>
  </cellStyleXfs>
  <cellXfs count="372">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0" xfId="0" applyAlignment="1">
      <alignment wrapText="1"/>
    </xf>
    <xf numFmtId="15" fontId="0" fillId="0" borderId="2" xfId="0" applyNumberFormat="1" applyBorder="1" applyAlignment="1">
      <alignment horizontal="center"/>
    </xf>
    <xf numFmtId="0" fontId="0" fillId="0" borderId="2" xfId="0" applyBorder="1" applyAlignment="1">
      <alignment horizontal="center"/>
    </xf>
    <xf numFmtId="0" fontId="0" fillId="0" borderId="2" xfId="0" quotePrefix="1"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3" xfId="0" applyFont="1" applyFill="1" applyBorder="1" applyAlignment="1">
      <alignment horizontal="center" wrapText="1"/>
    </xf>
    <xf numFmtId="0" fontId="3" fillId="0" borderId="0" xfId="0" applyFont="1" applyFill="1" applyAlignment="1"/>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6" fillId="0" borderId="0" xfId="0" applyFont="1" applyFill="1" applyAlignment="1"/>
    <xf numFmtId="0" fontId="4" fillId="0" borderId="0" xfId="0" applyFont="1" applyFill="1" applyAlignment="1">
      <alignment horizontal="center"/>
    </xf>
    <xf numFmtId="0" fontId="4" fillId="0" borderId="0" xfId="0" applyFont="1" applyFill="1" applyAlignment="1">
      <alignment horizontal="left" wrapText="1"/>
    </xf>
    <xf numFmtId="0" fontId="1" fillId="0" borderId="17" xfId="0" applyFont="1" applyFill="1" applyBorder="1" applyAlignment="1">
      <alignment vertical="top"/>
    </xf>
    <xf numFmtId="0" fontId="1" fillId="0" borderId="18" xfId="0" applyFont="1" applyFill="1" applyBorder="1" applyAlignment="1">
      <alignment vertical="top" wrapText="1"/>
    </xf>
    <xf numFmtId="0" fontId="3" fillId="0" borderId="19" xfId="0" applyFont="1" applyFill="1" applyBorder="1" applyAlignment="1">
      <alignment horizontal="center" vertical="top"/>
    </xf>
    <xf numFmtId="0" fontId="3" fillId="0" borderId="0" xfId="0" applyFont="1" applyFill="1" applyBorder="1" applyAlignment="1">
      <alignment horizontal="center" vertical="top"/>
    </xf>
    <xf numFmtId="0" fontId="3" fillId="0" borderId="20" xfId="0" applyFont="1" applyFill="1" applyBorder="1" applyAlignment="1">
      <alignment horizontal="center" vertical="top"/>
    </xf>
    <xf numFmtId="0" fontId="1" fillId="0" borderId="21" xfId="0" applyFont="1" applyFill="1" applyBorder="1" applyAlignment="1">
      <alignment vertical="top"/>
    </xf>
    <xf numFmtId="0" fontId="6" fillId="0" borderId="19" xfId="0" applyFont="1" applyFill="1" applyBorder="1" applyAlignment="1">
      <alignment horizontal="center" vertical="top"/>
    </xf>
    <xf numFmtId="0" fontId="6" fillId="0" borderId="0" xfId="0" applyFont="1" applyFill="1" applyBorder="1" applyAlignment="1">
      <alignment horizontal="center" vertical="top"/>
    </xf>
    <xf numFmtId="0" fontId="6" fillId="0" borderId="20" xfId="0" applyFont="1" applyFill="1" applyBorder="1" applyAlignment="1">
      <alignment horizontal="center" vertical="top"/>
    </xf>
    <xf numFmtId="0" fontId="1" fillId="0" borderId="21" xfId="0" applyFont="1" applyFill="1" applyBorder="1" applyAlignment="1">
      <alignment vertical="top" wrapText="1"/>
    </xf>
    <xf numFmtId="0" fontId="8" fillId="0" borderId="18" xfId="0" applyFont="1" applyFill="1" applyBorder="1" applyAlignment="1">
      <alignment vertical="top" wrapText="1"/>
    </xf>
    <xf numFmtId="0" fontId="8" fillId="0" borderId="19" xfId="0" applyFont="1" applyFill="1" applyBorder="1" applyAlignment="1">
      <alignment horizontal="center" vertical="top"/>
    </xf>
    <xf numFmtId="0" fontId="8" fillId="0" borderId="0" xfId="0" applyFont="1" applyFill="1" applyBorder="1" applyAlignment="1">
      <alignment horizontal="center" vertical="top"/>
    </xf>
    <xf numFmtId="0" fontId="8" fillId="0" borderId="20" xfId="0" applyFont="1" applyFill="1" applyBorder="1" applyAlignment="1">
      <alignment horizontal="center" vertical="top"/>
    </xf>
    <xf numFmtId="0" fontId="1" fillId="0" borderId="17" xfId="0" applyFont="1" applyFill="1" applyBorder="1" applyAlignment="1">
      <alignment vertical="top" wrapText="1"/>
    </xf>
    <xf numFmtId="0" fontId="1" fillId="0" borderId="22" xfId="0" applyFont="1" applyFill="1" applyBorder="1" applyAlignment="1">
      <alignment vertical="top"/>
    </xf>
    <xf numFmtId="0" fontId="2" fillId="3" borderId="23" xfId="0" applyFont="1" applyFill="1" applyBorder="1" applyAlignment="1">
      <alignment horizontal="center"/>
    </xf>
    <xf numFmtId="0" fontId="1" fillId="0" borderId="24" xfId="0" applyFont="1" applyFill="1" applyBorder="1" applyAlignment="1">
      <alignment vertical="top"/>
    </xf>
    <xf numFmtId="0" fontId="1" fillId="0" borderId="25" xfId="0" applyFont="1" applyFill="1" applyBorder="1" applyAlignment="1">
      <alignment horizontal="center" vertical="top" wrapText="1"/>
    </xf>
    <xf numFmtId="0" fontId="1" fillId="0" borderId="2" xfId="0" applyFont="1" applyFill="1" applyBorder="1" applyAlignment="1">
      <alignment vertical="top"/>
    </xf>
    <xf numFmtId="0" fontId="9" fillId="0" borderId="21" xfId="0" applyFont="1" applyFill="1" applyBorder="1" applyAlignment="1">
      <alignment vertical="top"/>
    </xf>
    <xf numFmtId="0" fontId="10" fillId="0" borderId="0" xfId="0" applyFont="1" applyFill="1" applyBorder="1" applyAlignment="1">
      <alignment horizontal="center" vertical="top"/>
    </xf>
    <xf numFmtId="6" fontId="1" fillId="0" borderId="25" xfId="0" applyNumberFormat="1" applyFont="1" applyFill="1" applyBorder="1" applyAlignment="1">
      <alignment horizontal="center" vertical="top" wrapText="1"/>
    </xf>
    <xf numFmtId="0" fontId="1" fillId="0" borderId="25" xfId="0" applyNumberFormat="1" applyFont="1" applyFill="1" applyBorder="1" applyAlignment="1">
      <alignment horizontal="center" vertical="top" wrapText="1"/>
    </xf>
    <xf numFmtId="0" fontId="6" fillId="0" borderId="26" xfId="0" applyFont="1" applyFill="1" applyBorder="1" applyAlignment="1">
      <alignment horizontal="center" vertical="top"/>
    </xf>
    <xf numFmtId="0" fontId="6" fillId="0" borderId="27" xfId="0" applyFont="1" applyFill="1" applyBorder="1" applyAlignment="1">
      <alignment horizontal="center" vertical="top"/>
    </xf>
    <xf numFmtId="0" fontId="6" fillId="0" borderId="28" xfId="0" applyFont="1" applyFill="1" applyBorder="1" applyAlignment="1">
      <alignment horizontal="center" vertical="top"/>
    </xf>
    <xf numFmtId="0" fontId="12" fillId="0" borderId="0" xfId="0" applyFont="1"/>
    <xf numFmtId="0" fontId="11" fillId="0" borderId="0" xfId="0" applyFont="1" applyAlignment="1">
      <alignment vertical="top"/>
    </xf>
    <xf numFmtId="0" fontId="11" fillId="0" borderId="0" xfId="0" applyFont="1" applyAlignment="1">
      <alignment vertical="top" wrapText="1"/>
    </xf>
    <xf numFmtId="0" fontId="6" fillId="0" borderId="19" xfId="0" applyFont="1" applyFill="1" applyBorder="1" applyAlignment="1">
      <alignment horizontal="center"/>
    </xf>
    <xf numFmtId="0" fontId="6" fillId="0" borderId="0" xfId="0" applyFont="1" applyFill="1" applyBorder="1" applyAlignment="1">
      <alignment horizontal="center"/>
    </xf>
    <xf numFmtId="0" fontId="6" fillId="0" borderId="20" xfId="0" applyFont="1" applyFill="1" applyBorder="1" applyAlignment="1">
      <alignment horizontal="center"/>
    </xf>
    <xf numFmtId="0" fontId="6" fillId="0" borderId="29" xfId="0" applyFont="1" applyFill="1" applyBorder="1" applyAlignment="1">
      <alignment horizontal="center"/>
    </xf>
    <xf numFmtId="0" fontId="6" fillId="0" borderId="30" xfId="0" applyFont="1" applyFill="1" applyBorder="1" applyAlignment="1">
      <alignment horizontal="center"/>
    </xf>
    <xf numFmtId="0" fontId="6" fillId="0" borderId="31" xfId="0" applyFont="1" applyFill="1" applyBorder="1" applyAlignment="1">
      <alignment horizontal="center"/>
    </xf>
    <xf numFmtId="0" fontId="4" fillId="3" borderId="32" xfId="0" applyFont="1" applyFill="1" applyBorder="1" applyAlignment="1">
      <alignment horizontal="center"/>
    </xf>
    <xf numFmtId="0" fontId="3" fillId="0" borderId="33" xfId="0" applyFont="1" applyFill="1" applyBorder="1" applyAlignment="1">
      <alignment horizontal="center" wrapText="1"/>
    </xf>
    <xf numFmtId="0" fontId="3" fillId="0" borderId="34" xfId="0" applyFont="1" applyFill="1" applyBorder="1" applyAlignment="1">
      <alignment horizontal="center" wrapText="1"/>
    </xf>
    <xf numFmtId="0" fontId="1" fillId="0" borderId="24" xfId="0" applyFont="1" applyFill="1" applyBorder="1" applyAlignment="1">
      <alignment horizontal="center" vertical="top" wrapText="1"/>
    </xf>
    <xf numFmtId="0" fontId="8" fillId="0" borderId="24" xfId="0" applyFont="1" applyFill="1" applyBorder="1" applyAlignment="1">
      <alignment horizontal="center" vertical="top" wrapText="1"/>
    </xf>
    <xf numFmtId="0" fontId="1" fillId="0" borderId="25" xfId="0" quotePrefix="1" applyFont="1" applyFill="1" applyBorder="1" applyAlignment="1">
      <alignment horizontal="center" vertical="top" wrapText="1"/>
    </xf>
    <xf numFmtId="0" fontId="1" fillId="0" borderId="35" xfId="0" applyFont="1" applyFill="1" applyBorder="1" applyAlignment="1">
      <alignment vertical="top"/>
    </xf>
    <xf numFmtId="0" fontId="1" fillId="4" borderId="25" xfId="0" applyFont="1" applyFill="1" applyBorder="1" applyAlignment="1">
      <alignment horizontal="center" vertical="top" wrapText="1"/>
    </xf>
    <xf numFmtId="0" fontId="3" fillId="0" borderId="17" xfId="0" applyFont="1" applyFill="1" applyBorder="1" applyAlignment="1">
      <alignment vertical="top"/>
    </xf>
    <xf numFmtId="0" fontId="1" fillId="4" borderId="17" xfId="0" applyFont="1" applyFill="1" applyBorder="1" applyAlignment="1">
      <alignment horizontal="center" vertical="top" wrapText="1"/>
    </xf>
    <xf numFmtId="0" fontId="13" fillId="0" borderId="21" xfId="0" applyFont="1" applyFill="1" applyBorder="1" applyAlignment="1">
      <alignment vertical="top" wrapText="1"/>
    </xf>
    <xf numFmtId="0" fontId="3" fillId="0" borderId="22" xfId="0" applyFont="1" applyFill="1" applyBorder="1" applyAlignment="1">
      <alignment vertical="top" wrapText="1"/>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7" borderId="0" xfId="0" applyFill="1"/>
    <xf numFmtId="0" fontId="0" fillId="7"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6" borderId="36" xfId="0" applyFill="1" applyBorder="1"/>
    <xf numFmtId="0" fontId="0" fillId="6" borderId="37" xfId="0" applyFill="1" applyBorder="1" applyAlignment="1">
      <alignment vertical="top"/>
    </xf>
    <xf numFmtId="0" fontId="0" fillId="6" borderId="38" xfId="0" applyFill="1" applyBorder="1" applyAlignment="1">
      <alignment vertical="top"/>
    </xf>
    <xf numFmtId="0" fontId="0" fillId="6" borderId="0" xfId="0" applyFill="1" applyBorder="1" applyAlignment="1">
      <alignment vertical="top"/>
    </xf>
    <xf numFmtId="0" fontId="0" fillId="6" borderId="39" xfId="0" applyFill="1" applyBorder="1" applyAlignment="1">
      <alignment vertical="top"/>
    </xf>
    <xf numFmtId="0" fontId="0" fillId="6" borderId="40" xfId="0" applyFill="1" applyBorder="1"/>
    <xf numFmtId="0" fontId="0" fillId="6" borderId="41" xfId="0" applyFill="1" applyBorder="1"/>
    <xf numFmtId="0" fontId="0" fillId="6" borderId="42"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6" borderId="43"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49" fontId="6" fillId="0" borderId="44" xfId="0" applyNumberFormat="1" applyFont="1" applyFill="1" applyBorder="1" applyAlignment="1">
      <alignment horizontal="center" textRotation="90"/>
    </xf>
    <xf numFmtId="0" fontId="6" fillId="0" borderId="45"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46" xfId="0" applyBorder="1"/>
    <xf numFmtId="0" fontId="0" fillId="0" borderId="47" xfId="0" applyBorder="1"/>
    <xf numFmtId="0" fontId="0" fillId="0" borderId="48" xfId="0" applyBorder="1"/>
    <xf numFmtId="49" fontId="0" fillId="0" borderId="6" xfId="0" quotePrefix="1" applyNumberFormat="1" applyBorder="1" applyAlignment="1">
      <alignment horizontal="center"/>
    </xf>
    <xf numFmtId="0" fontId="0" fillId="0" borderId="49" xfId="0" applyFill="1" applyBorder="1"/>
    <xf numFmtId="0" fontId="3" fillId="0" borderId="21" xfId="0" applyFont="1" applyFill="1" applyBorder="1" applyAlignment="1">
      <alignment vertical="top"/>
    </xf>
    <xf numFmtId="0" fontId="6" fillId="0" borderId="50" xfId="0" applyFont="1" applyFill="1" applyBorder="1" applyAlignment="1">
      <alignment horizontal="center" textRotation="90"/>
    </xf>
    <xf numFmtId="0" fontId="3" fillId="0" borderId="30" xfId="0" applyFont="1" applyBorder="1" applyAlignment="1">
      <alignment horizontal="center" wrapText="1"/>
    </xf>
    <xf numFmtId="0" fontId="4" fillId="0" borderId="0" xfId="2" applyFont="1" applyAlignment="1">
      <alignment horizontal="left" vertical="center"/>
    </xf>
    <xf numFmtId="0" fontId="4" fillId="0" borderId="0" xfId="2" applyFont="1"/>
    <xf numFmtId="0" fontId="4" fillId="0" borderId="0" xfId="2"/>
    <xf numFmtId="0" fontId="4" fillId="3" borderId="32" xfId="2" applyFont="1" applyFill="1" applyBorder="1" applyAlignment="1">
      <alignment horizontal="center"/>
    </xf>
    <xf numFmtId="0" fontId="4" fillId="3" borderId="51" xfId="2" applyFont="1" applyFill="1" applyBorder="1" applyAlignment="1">
      <alignment horizontal="center"/>
    </xf>
    <xf numFmtId="0" fontId="4" fillId="0" borderId="0" xfId="2" applyFont="1" applyAlignment="1">
      <alignment horizontal="left"/>
    </xf>
    <xf numFmtId="0" fontId="1" fillId="0" borderId="0" xfId="2" applyFont="1" applyAlignment="1">
      <alignment horizontal="left"/>
    </xf>
    <xf numFmtId="0" fontId="1" fillId="0" borderId="0" xfId="2" applyFont="1" applyFill="1" applyBorder="1" applyAlignment="1">
      <alignment horizontal="center" wrapText="1"/>
    </xf>
    <xf numFmtId="0" fontId="7" fillId="2" borderId="52" xfId="2" applyFont="1" applyFill="1" applyBorder="1" applyAlignment="1">
      <alignment horizontal="left"/>
    </xf>
    <xf numFmtId="0" fontId="7" fillId="2" borderId="1" xfId="2" applyFont="1" applyFill="1" applyBorder="1" applyAlignment="1">
      <alignment horizontal="left"/>
    </xf>
    <xf numFmtId="0" fontId="1" fillId="2" borderId="1" xfId="2" applyFont="1" applyFill="1" applyBorder="1" applyAlignment="1">
      <alignment wrapText="1"/>
    </xf>
    <xf numFmtId="0" fontId="1" fillId="2" borderId="1" xfId="2" applyFont="1" applyFill="1" applyBorder="1" applyAlignment="1">
      <alignment horizontal="center" wrapText="1"/>
    </xf>
    <xf numFmtId="0" fontId="1" fillId="2" borderId="1" xfId="2" applyNumberFormat="1" applyFont="1" applyFill="1" applyBorder="1" applyAlignment="1">
      <alignment horizontal="center"/>
    </xf>
    <xf numFmtId="0" fontId="1" fillId="2" borderId="1" xfId="2" applyFont="1" applyFill="1" applyBorder="1" applyAlignment="1">
      <alignment horizontal="center"/>
    </xf>
    <xf numFmtId="0" fontId="1" fillId="0" borderId="53" xfId="2" applyFont="1" applyBorder="1" applyAlignment="1">
      <alignment horizontal="center"/>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0" fillId="0" borderId="30" xfId="0" applyBorder="1" applyAlignment="1" applyProtection="1">
      <alignment horizontal="center" vertical="center" wrapText="1"/>
      <protection locked="0"/>
    </xf>
    <xf numFmtId="0" fontId="3" fillId="0" borderId="23" xfId="2" applyFont="1" applyBorder="1" applyAlignment="1">
      <alignment wrapText="1"/>
    </xf>
    <xf numFmtId="0" fontId="3" fillId="0" borderId="54" xfId="2" applyFont="1" applyBorder="1" applyAlignment="1">
      <alignment wrapText="1"/>
    </xf>
    <xf numFmtId="0" fontId="3" fillId="0" borderId="54" xfId="2" applyFont="1" applyBorder="1" applyAlignment="1">
      <alignment horizontal="center" wrapText="1"/>
    </xf>
    <xf numFmtId="0" fontId="3" fillId="0" borderId="51" xfId="2" applyFont="1" applyBorder="1" applyAlignment="1">
      <alignment horizontal="center" wrapText="1"/>
    </xf>
    <xf numFmtId="0" fontId="3" fillId="0" borderId="54" xfId="2" applyFont="1" applyBorder="1" applyAlignment="1">
      <alignment horizontal="center" vertical="top" wrapText="1"/>
    </xf>
    <xf numFmtId="0" fontId="3" fillId="0" borderId="54" xfId="2" applyNumberFormat="1" applyFont="1" applyBorder="1" applyAlignment="1">
      <alignment horizontal="center" wrapText="1"/>
    </xf>
    <xf numFmtId="0" fontId="1" fillId="0" borderId="55" xfId="2" applyFont="1" applyBorder="1"/>
    <xf numFmtId="0" fontId="1" fillId="0" borderId="56" xfId="2" applyFont="1" applyBorder="1"/>
    <xf numFmtId="0" fontId="1" fillId="0" borderId="55" xfId="2" applyFont="1" applyBorder="1" applyAlignment="1">
      <alignment horizontal="center"/>
    </xf>
    <xf numFmtId="0" fontId="1" fillId="0" borderId="56"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4" fillId="0" borderId="37" xfId="0" applyFont="1" applyFill="1" applyBorder="1" applyAlignment="1">
      <alignment horizontal="right" vertical="top"/>
    </xf>
    <xf numFmtId="0" fontId="3" fillId="0" borderId="11" xfId="2" applyFont="1" applyBorder="1" applyAlignment="1">
      <alignment wrapText="1"/>
    </xf>
    <xf numFmtId="0" fontId="3" fillId="0" borderId="27" xfId="2" applyFont="1" applyBorder="1" applyAlignment="1">
      <alignment wrapText="1"/>
    </xf>
    <xf numFmtId="0" fontId="3" fillId="0" borderId="12" xfId="2" applyFont="1" applyBorder="1" applyAlignment="1">
      <alignment wrapText="1"/>
    </xf>
    <xf numFmtId="0" fontId="3" fillId="0" borderId="12" xfId="2" applyFont="1" applyBorder="1" applyAlignment="1">
      <alignment horizontal="center" wrapText="1"/>
    </xf>
    <xf numFmtId="0" fontId="3" fillId="0" borderId="34" xfId="2" applyFont="1" applyBorder="1" applyAlignment="1">
      <alignment horizontal="center" wrapText="1"/>
    </xf>
    <xf numFmtId="0" fontId="3" fillId="0" borderId="0" xfId="2" applyFont="1" applyBorder="1" applyAlignment="1">
      <alignment horizontal="center" wrapText="1"/>
    </xf>
    <xf numFmtId="0" fontId="3" fillId="0" borderId="12" xfId="2" applyFont="1" applyBorder="1" applyAlignment="1">
      <alignment horizontal="center" vertical="top" wrapText="1"/>
    </xf>
    <xf numFmtId="0" fontId="3" fillId="0" borderId="20" xfId="2" applyFont="1" applyBorder="1" applyAlignment="1">
      <alignment horizontal="center" wrapText="1"/>
    </xf>
    <xf numFmtId="0" fontId="3" fillId="0" borderId="14" xfId="2" applyFont="1" applyBorder="1" applyAlignment="1">
      <alignment horizontal="center" wrapText="1"/>
    </xf>
    <xf numFmtId="0" fontId="3" fillId="0" borderId="30" xfId="2" applyFont="1" applyBorder="1" applyAlignment="1">
      <alignment horizontal="center" wrapText="1"/>
    </xf>
    <xf numFmtId="0" fontId="3" fillId="0" borderId="15" xfId="2" applyFont="1" applyBorder="1" applyAlignment="1">
      <alignment horizontal="center" wrapText="1"/>
    </xf>
    <xf numFmtId="0" fontId="3" fillId="0" borderId="33" xfId="2" applyFont="1" applyBorder="1" applyAlignment="1">
      <alignment horizontal="center" wrapText="1"/>
    </xf>
    <xf numFmtId="0" fontId="3" fillId="0" borderId="57" xfId="2" applyFont="1" applyBorder="1" applyAlignment="1">
      <alignment horizontal="center" wrapText="1"/>
    </xf>
    <xf numFmtId="0" fontId="3" fillId="0" borderId="58" xfId="2" applyNumberFormat="1" applyFont="1" applyBorder="1" applyAlignment="1">
      <alignment horizontal="center" wrapText="1"/>
    </xf>
    <xf numFmtId="0" fontId="3" fillId="0" borderId="31" xfId="2" applyFont="1" applyBorder="1" applyAlignment="1">
      <alignment horizontal="center" wrapText="1"/>
    </xf>
    <xf numFmtId="0" fontId="16" fillId="0" borderId="59" xfId="2" applyFont="1" applyBorder="1" applyAlignment="1">
      <alignment vertical="top" wrapText="1"/>
    </xf>
    <xf numFmtId="0" fontId="17" fillId="0" borderId="24" xfId="2" applyFont="1" applyBorder="1" applyAlignment="1">
      <alignment horizontal="left" vertical="top" wrapText="1"/>
    </xf>
    <xf numFmtId="0" fontId="16" fillId="0" borderId="18" xfId="2" applyFont="1" applyBorder="1" applyAlignment="1" applyProtection="1">
      <alignment wrapText="1"/>
      <protection locked="0"/>
    </xf>
    <xf numFmtId="0" fontId="16" fillId="0" borderId="18" xfId="2" applyFont="1" applyBorder="1" applyAlignment="1" applyProtection="1">
      <alignment horizontal="center" wrapText="1"/>
      <protection locked="0"/>
    </xf>
    <xf numFmtId="0" fontId="16" fillId="0" borderId="24" xfId="2" applyFont="1" applyBorder="1" applyAlignment="1" applyProtection="1">
      <alignment horizontal="center" wrapText="1"/>
      <protection locked="0"/>
    </xf>
    <xf numFmtId="0" fontId="16" fillId="0" borderId="53" xfId="2" applyFont="1" applyBorder="1" applyAlignment="1" applyProtection="1">
      <alignment horizontal="center"/>
      <protection locked="0"/>
    </xf>
    <xf numFmtId="0" fontId="16" fillId="0" borderId="53" xfId="2" applyFont="1" applyBorder="1" applyAlignment="1">
      <alignment horizontal="center"/>
    </xf>
    <xf numFmtId="11" fontId="16" fillId="0" borderId="53" xfId="2" applyNumberFormat="1" applyFont="1" applyBorder="1" applyAlignment="1" applyProtection="1">
      <alignment horizontal="center"/>
      <protection locked="0"/>
    </xf>
    <xf numFmtId="0" fontId="1" fillId="0" borderId="3" xfId="2" applyFont="1" applyBorder="1" applyAlignment="1" applyProtection="1">
      <alignment horizontal="center"/>
      <protection locked="0"/>
    </xf>
    <xf numFmtId="0" fontId="4" fillId="0" borderId="0" xfId="2" applyFont="1" applyAlignment="1" applyProtection="1">
      <alignment horizontal="left"/>
      <protection locked="0"/>
    </xf>
    <xf numFmtId="0" fontId="4" fillId="0" borderId="0" xfId="2" applyProtection="1">
      <protection locked="0"/>
    </xf>
    <xf numFmtId="0" fontId="1" fillId="0" borderId="53" xfId="2" applyFont="1" applyBorder="1" applyAlignment="1" applyProtection="1">
      <alignment horizontal="center"/>
      <protection locked="0"/>
    </xf>
    <xf numFmtId="0" fontId="1" fillId="0" borderId="18" xfId="2" applyFont="1" applyBorder="1" applyAlignment="1" applyProtection="1">
      <alignment wrapText="1"/>
      <protection locked="0"/>
    </xf>
    <xf numFmtId="0" fontId="1" fillId="0" borderId="18" xfId="2" applyFont="1" applyBorder="1" applyAlignment="1" applyProtection="1">
      <alignment horizontal="center" wrapText="1"/>
      <protection locked="0"/>
    </xf>
    <xf numFmtId="0" fontId="1" fillId="0" borderId="24" xfId="2" applyFont="1" applyBorder="1" applyAlignment="1" applyProtection="1">
      <alignment horizontal="center" wrapText="1"/>
      <protection locked="0"/>
    </xf>
    <xf numFmtId="0" fontId="1" fillId="0" borderId="0" xfId="2" applyFont="1" applyAlignment="1" applyProtection="1">
      <alignment wrapText="1"/>
      <protection locked="0"/>
    </xf>
    <xf numFmtId="0" fontId="4" fillId="0" borderId="0" xfId="2" applyFont="1" applyAlignment="1" applyProtection="1">
      <protection locked="0"/>
    </xf>
    <xf numFmtId="0" fontId="4" fillId="0" borderId="0" xfId="2" applyFont="1" applyAlignment="1" applyProtection="1">
      <alignment horizontal="center" wrapText="1"/>
      <protection locked="0"/>
    </xf>
    <xf numFmtId="0" fontId="4" fillId="0" borderId="0" xfId="2" applyFont="1" applyAlignment="1" applyProtection="1">
      <alignment horizontal="center"/>
      <protection locked="0"/>
    </xf>
    <xf numFmtId="0" fontId="4" fillId="0" borderId="0" xfId="2" applyNumberFormat="1" applyFont="1" applyAlignment="1" applyProtection="1">
      <alignment horizontal="center"/>
      <protection locked="0"/>
    </xf>
    <xf numFmtId="0" fontId="4" fillId="0" borderId="30" xfId="0" applyFont="1" applyBorder="1" applyAlignment="1" applyProtection="1">
      <alignment horizontal="left" vertical="center"/>
      <protection locked="0"/>
    </xf>
    <xf numFmtId="0" fontId="3" fillId="0" borderId="13" xfId="2" applyFont="1" applyBorder="1" applyAlignment="1">
      <alignment horizontal="center" wrapText="1"/>
    </xf>
    <xf numFmtId="0" fontId="3" fillId="0" borderId="16" xfId="2" applyFont="1" applyBorder="1" applyAlignment="1">
      <alignment horizontal="center" wrapText="1"/>
    </xf>
    <xf numFmtId="0" fontId="1" fillId="0" borderId="6" xfId="2" applyFont="1" applyBorder="1" applyAlignment="1">
      <alignment wrapText="1"/>
    </xf>
    <xf numFmtId="0" fontId="1" fillId="0" borderId="35" xfId="2" applyFont="1" applyBorder="1" applyProtection="1">
      <protection locked="0"/>
    </xf>
    <xf numFmtId="0" fontId="1" fillId="0" borderId="6" xfId="2" applyFont="1" applyBorder="1" applyAlignment="1" applyProtection="1">
      <alignment vertical="top" wrapText="1"/>
      <protection locked="0"/>
    </xf>
    <xf numFmtId="0" fontId="4" fillId="0" borderId="0" xfId="2" applyFont="1" applyAlignment="1" applyProtection="1">
      <alignment wrapText="1"/>
      <protection locked="0"/>
    </xf>
    <xf numFmtId="0" fontId="3" fillId="0" borderId="15" xfId="0" applyFont="1" applyBorder="1" applyAlignment="1">
      <alignment horizontal="center" wrapText="1"/>
    </xf>
    <xf numFmtId="0" fontId="14" fillId="5" borderId="0" xfId="0" applyFont="1" applyFill="1"/>
    <xf numFmtId="0" fontId="0" fillId="6" borderId="0" xfId="0" applyFill="1" applyBorder="1" applyAlignment="1">
      <alignment horizontal="right" vertical="top"/>
    </xf>
    <xf numFmtId="0" fontId="0" fillId="11" borderId="0" xfId="0" applyFill="1"/>
    <xf numFmtId="0" fontId="0" fillId="11" borderId="0" xfId="0" applyFill="1" applyAlignment="1">
      <alignment vertical="top"/>
    </xf>
    <xf numFmtId="0" fontId="4" fillId="11" borderId="0" xfId="0" applyFont="1" applyFill="1"/>
    <xf numFmtId="0" fontId="4" fillId="11" borderId="0" xfId="0" applyFont="1" applyFill="1" applyAlignment="1">
      <alignment vertical="top"/>
    </xf>
    <xf numFmtId="0" fontId="16" fillId="0" borderId="35" xfId="2" applyFont="1" applyBorder="1" applyAlignment="1" applyProtection="1">
      <alignment horizontal="center" wrapText="1"/>
      <protection locked="0"/>
    </xf>
    <xf numFmtId="1" fontId="0" fillId="0" borderId="2" xfId="0" quotePrefix="1" applyNumberFormat="1" applyBorder="1" applyAlignment="1">
      <alignment horizontal="center"/>
    </xf>
    <xf numFmtId="0" fontId="1" fillId="0" borderId="6" xfId="2" applyFont="1" applyBorder="1" applyAlignment="1" applyProtection="1">
      <alignment wrapText="1"/>
      <protection locked="0"/>
    </xf>
    <xf numFmtId="0" fontId="1" fillId="0" borderId="25" xfId="2" applyFont="1" applyBorder="1" applyAlignment="1" applyProtection="1">
      <alignment horizontal="center" wrapText="1"/>
      <protection locked="0"/>
    </xf>
    <xf numFmtId="0" fontId="20" fillId="0" borderId="22" xfId="0" applyFont="1" applyBorder="1"/>
    <xf numFmtId="0" fontId="1" fillId="0" borderId="22" xfId="2" applyFont="1" applyBorder="1" applyProtection="1">
      <protection locked="0"/>
    </xf>
    <xf numFmtId="0" fontId="1" fillId="0" borderId="22" xfId="0" applyFont="1" applyBorder="1"/>
    <xf numFmtId="0" fontId="16" fillId="0" borderId="22" xfId="2" applyFont="1" applyBorder="1" applyAlignment="1">
      <alignment vertical="top" wrapText="1"/>
    </xf>
    <xf numFmtId="0" fontId="17" fillId="0" borderId="61" xfId="2" applyFont="1" applyBorder="1" applyAlignment="1">
      <alignment horizontal="left" vertical="top" wrapText="1"/>
    </xf>
    <xf numFmtId="0" fontId="16" fillId="0" borderId="63" xfId="2" applyFont="1" applyBorder="1" applyAlignment="1" applyProtection="1">
      <alignment wrapText="1"/>
      <protection locked="0"/>
    </xf>
    <xf numFmtId="0" fontId="16" fillId="0" borderId="63" xfId="2" applyFont="1" applyBorder="1" applyAlignment="1" applyProtection="1">
      <alignment horizontal="center" wrapText="1"/>
      <protection locked="0"/>
    </xf>
    <xf numFmtId="0" fontId="16" fillId="0" borderId="39" xfId="2" applyFont="1" applyBorder="1" applyAlignment="1" applyProtection="1">
      <alignment horizontal="center" wrapText="1"/>
      <protection locked="0"/>
    </xf>
    <xf numFmtId="0" fontId="16" fillId="0" borderId="64" xfId="2" applyFont="1" applyBorder="1" applyAlignment="1" applyProtection="1">
      <alignment horizontal="center"/>
      <protection locked="0"/>
    </xf>
    <xf numFmtId="0" fontId="16" fillId="0" borderId="64" xfId="2" applyFont="1" applyBorder="1" applyAlignment="1">
      <alignment horizontal="center"/>
    </xf>
    <xf numFmtId="11" fontId="16" fillId="0" borderId="64" xfId="2" applyNumberFormat="1" applyFont="1" applyBorder="1" applyAlignment="1" applyProtection="1">
      <alignment horizontal="center"/>
      <protection locked="0"/>
    </xf>
    <xf numFmtId="0" fontId="1" fillId="0" borderId="64" xfId="2" applyFont="1" applyBorder="1" applyAlignment="1">
      <alignment horizontal="center"/>
    </xf>
    <xf numFmtId="0" fontId="17" fillId="0" borderId="18" xfId="2" applyFont="1" applyBorder="1" applyAlignment="1">
      <alignment horizontal="left" vertical="top" wrapText="1"/>
    </xf>
    <xf numFmtId="0" fontId="16" fillId="0" borderId="18" xfId="2" applyFont="1" applyBorder="1" applyAlignment="1" applyProtection="1">
      <alignment horizontal="center"/>
      <protection locked="0"/>
    </xf>
    <xf numFmtId="0" fontId="16" fillId="0" borderId="18" xfId="2" applyFont="1" applyBorder="1" applyAlignment="1">
      <alignment horizontal="center"/>
    </xf>
    <xf numFmtId="11" fontId="16" fillId="0" borderId="18" xfId="2" applyNumberFormat="1" applyFont="1" applyBorder="1" applyAlignment="1" applyProtection="1">
      <alignment horizontal="center"/>
      <protection locked="0"/>
    </xf>
    <xf numFmtId="0" fontId="17" fillId="13" borderId="24" xfId="2" applyFont="1" applyFill="1" applyBorder="1" applyAlignment="1">
      <alignment horizontal="left" vertical="top" wrapText="1"/>
    </xf>
    <xf numFmtId="0" fontId="4" fillId="0" borderId="22" xfId="2" applyNumberFormat="1" applyBorder="1" applyProtection="1">
      <protection locked="0"/>
    </xf>
    <xf numFmtId="0" fontId="4" fillId="0" borderId="18" xfId="2" applyNumberFormat="1" applyBorder="1" applyProtection="1">
      <protection locked="0"/>
    </xf>
    <xf numFmtId="0" fontId="4" fillId="0" borderId="53" xfId="2" applyNumberFormat="1" applyBorder="1" applyProtection="1">
      <protection locked="0"/>
    </xf>
    <xf numFmtId="0" fontId="17" fillId="14" borderId="18" xfId="2" applyFont="1" applyFill="1" applyBorder="1" applyAlignment="1">
      <alignment horizontal="left" vertical="top" wrapText="1"/>
    </xf>
    <xf numFmtId="0" fontId="1" fillId="0" borderId="22" xfId="0" applyFont="1" applyFill="1" applyBorder="1"/>
    <xf numFmtId="0" fontId="16" fillId="0" borderId="18" xfId="2" applyFont="1" applyFill="1" applyBorder="1" applyAlignment="1" applyProtection="1">
      <alignment wrapText="1"/>
      <protection locked="0"/>
    </xf>
    <xf numFmtId="0" fontId="16" fillId="0" borderId="18" xfId="2" applyFont="1" applyFill="1" applyBorder="1" applyAlignment="1" applyProtection="1">
      <alignment horizontal="center" wrapText="1"/>
      <protection locked="0"/>
    </xf>
    <xf numFmtId="0" fontId="16" fillId="0" borderId="24" xfId="2" applyFont="1" applyFill="1" applyBorder="1" applyAlignment="1" applyProtection="1">
      <alignment horizontal="center" wrapText="1"/>
      <protection locked="0"/>
    </xf>
    <xf numFmtId="0" fontId="16" fillId="0" borderId="35" xfId="2" applyFont="1" applyFill="1" applyBorder="1" applyAlignment="1" applyProtection="1">
      <alignment horizontal="center" wrapText="1"/>
      <protection locked="0"/>
    </xf>
    <xf numFmtId="0" fontId="16" fillId="0" borderId="53" xfId="2" applyFont="1" applyFill="1" applyBorder="1" applyAlignment="1" applyProtection="1">
      <alignment horizontal="center"/>
      <protection locked="0"/>
    </xf>
    <xf numFmtId="0" fontId="16" fillId="0" borderId="53" xfId="2" applyFont="1" applyFill="1" applyBorder="1" applyAlignment="1">
      <alignment horizontal="center"/>
    </xf>
    <xf numFmtId="11" fontId="16" fillId="0" borderId="53" xfId="2" applyNumberFormat="1" applyFont="1" applyFill="1" applyBorder="1" applyAlignment="1" applyProtection="1">
      <alignment horizontal="center"/>
      <protection locked="0"/>
    </xf>
    <xf numFmtId="0" fontId="1" fillId="0" borderId="53" xfId="2" applyFont="1" applyFill="1" applyBorder="1" applyAlignment="1">
      <alignment horizontal="center"/>
    </xf>
    <xf numFmtId="0" fontId="3" fillId="15" borderId="30" xfId="2" applyFont="1" applyFill="1" applyBorder="1" applyAlignment="1">
      <alignment horizontal="center" wrapText="1"/>
    </xf>
    <xf numFmtId="0" fontId="1" fillId="15" borderId="22" xfId="0" applyFont="1" applyFill="1" applyBorder="1"/>
    <xf numFmtId="0" fontId="17" fillId="15" borderId="24" xfId="2" applyFont="1" applyFill="1" applyBorder="1" applyAlignment="1">
      <alignment horizontal="left" vertical="top" wrapText="1"/>
    </xf>
    <xf numFmtId="0" fontId="16" fillId="15" borderId="18" xfId="2" applyFont="1" applyFill="1" applyBorder="1" applyAlignment="1" applyProtection="1">
      <alignment wrapText="1"/>
      <protection locked="0"/>
    </xf>
    <xf numFmtId="0" fontId="16" fillId="15" borderId="18" xfId="2" applyFont="1" applyFill="1" applyBorder="1" applyAlignment="1" applyProtection="1">
      <alignment horizontal="center" wrapText="1"/>
      <protection locked="0"/>
    </xf>
    <xf numFmtId="0" fontId="16" fillId="15" borderId="24" xfId="2" applyFont="1" applyFill="1" applyBorder="1" applyAlignment="1" applyProtection="1">
      <alignment horizontal="center" wrapText="1"/>
      <protection locked="0"/>
    </xf>
    <xf numFmtId="0" fontId="16" fillId="15" borderId="35" xfId="2" applyFont="1" applyFill="1" applyBorder="1" applyAlignment="1" applyProtection="1">
      <alignment horizontal="center" wrapText="1"/>
      <protection locked="0"/>
    </xf>
    <xf numFmtId="0" fontId="16" fillId="15" borderId="53" xfId="2" applyFont="1" applyFill="1" applyBorder="1" applyAlignment="1" applyProtection="1">
      <alignment horizontal="center"/>
      <protection locked="0"/>
    </xf>
    <xf numFmtId="0" fontId="16" fillId="15" borderId="53" xfId="2" applyFont="1" applyFill="1" applyBorder="1" applyAlignment="1">
      <alignment horizontal="center"/>
    </xf>
    <xf numFmtId="11" fontId="16" fillId="15" borderId="53" xfId="2" applyNumberFormat="1" applyFont="1" applyFill="1" applyBorder="1" applyAlignment="1" applyProtection="1">
      <alignment horizontal="center"/>
      <protection locked="0"/>
    </xf>
    <xf numFmtId="0" fontId="1" fillId="15" borderId="53" xfId="2" applyFont="1" applyFill="1" applyBorder="1" applyAlignment="1">
      <alignment horizontal="center"/>
    </xf>
    <xf numFmtId="0" fontId="21" fillId="15" borderId="53" xfId="2" applyFont="1" applyFill="1" applyBorder="1" applyAlignment="1">
      <alignment horizontal="center"/>
    </xf>
    <xf numFmtId="0" fontId="16" fillId="15" borderId="22" xfId="2" applyFont="1" applyFill="1" applyBorder="1" applyAlignment="1">
      <alignment vertical="top" wrapText="1"/>
    </xf>
    <xf numFmtId="0" fontId="17" fillId="15" borderId="18" xfId="2" applyFont="1" applyFill="1" applyBorder="1" applyAlignment="1">
      <alignment horizontal="left" vertical="top" wrapText="1"/>
    </xf>
    <xf numFmtId="0" fontId="16" fillId="15" borderId="18" xfId="2" applyFont="1" applyFill="1" applyBorder="1" applyAlignment="1" applyProtection="1">
      <alignment horizontal="center"/>
      <protection locked="0"/>
    </xf>
    <xf numFmtId="0" fontId="16" fillId="15" borderId="18" xfId="2" applyFont="1" applyFill="1" applyBorder="1" applyAlignment="1">
      <alignment horizontal="center"/>
    </xf>
    <xf numFmtId="0" fontId="1" fillId="15" borderId="0" xfId="2" applyFont="1" applyFill="1" applyAlignment="1" applyProtection="1">
      <alignment wrapText="1"/>
      <protection locked="0"/>
    </xf>
    <xf numFmtId="0" fontId="4" fillId="15" borderId="0" xfId="2" applyNumberFormat="1" applyFont="1" applyFill="1" applyAlignment="1" applyProtection="1">
      <alignment horizontal="center"/>
      <protection locked="0"/>
    </xf>
    <xf numFmtId="0" fontId="21" fillId="15" borderId="22" xfId="2" applyFont="1" applyFill="1" applyBorder="1" applyAlignment="1">
      <alignment vertical="top" wrapText="1"/>
    </xf>
    <xf numFmtId="0" fontId="21" fillId="15" borderId="18" xfId="2" applyFont="1" applyFill="1" applyBorder="1" applyAlignment="1">
      <alignment horizontal="left" vertical="top" wrapText="1"/>
    </xf>
    <xf numFmtId="0" fontId="21" fillId="15" borderId="18" xfId="2" applyFont="1" applyFill="1" applyBorder="1" applyAlignment="1" applyProtection="1">
      <alignment wrapText="1"/>
      <protection locked="0"/>
    </xf>
    <xf numFmtId="0" fontId="21" fillId="15" borderId="18" xfId="2" applyFont="1" applyFill="1" applyBorder="1" applyAlignment="1" applyProtection="1">
      <alignment horizontal="center" wrapText="1"/>
      <protection locked="0"/>
    </xf>
    <xf numFmtId="0" fontId="21" fillId="15" borderId="18" xfId="2" applyFont="1" applyFill="1" applyBorder="1" applyAlignment="1" applyProtection="1">
      <alignment horizontal="center"/>
      <protection locked="0"/>
    </xf>
    <xf numFmtId="0" fontId="22" fillId="15" borderId="53" xfId="2" applyFont="1" applyFill="1" applyBorder="1" applyAlignment="1">
      <alignment horizontal="center"/>
    </xf>
    <xf numFmtId="0" fontId="21" fillId="14" borderId="18" xfId="2" applyFont="1" applyFill="1" applyBorder="1" applyAlignment="1">
      <alignment horizontal="left" vertical="top" wrapText="1"/>
    </xf>
    <xf numFmtId="0" fontId="21" fillId="15" borderId="18" xfId="2" applyFont="1" applyFill="1" applyBorder="1" applyAlignment="1">
      <alignment horizontal="center"/>
    </xf>
    <xf numFmtId="11" fontId="21" fillId="15" borderId="53" xfId="2" applyNumberFormat="1" applyFont="1" applyFill="1" applyBorder="1" applyAlignment="1" applyProtection="1">
      <alignment horizontal="center"/>
      <protection locked="0"/>
    </xf>
    <xf numFmtId="0" fontId="16" fillId="13" borderId="24" xfId="2" applyFont="1" applyFill="1" applyBorder="1" applyAlignment="1">
      <alignment horizontal="left" vertical="top" wrapText="1"/>
    </xf>
    <xf numFmtId="0" fontId="16" fillId="14" borderId="18" xfId="2" applyFont="1" applyFill="1" applyBorder="1" applyAlignment="1">
      <alignment horizontal="left" vertical="top" wrapText="1"/>
    </xf>
    <xf numFmtId="0" fontId="16" fillId="0" borderId="18" xfId="2" applyFont="1" applyBorder="1" applyAlignment="1">
      <alignment horizontal="left" vertical="top" wrapText="1"/>
    </xf>
    <xf numFmtId="0" fontId="16" fillId="15" borderId="18" xfId="2" applyFont="1" applyFill="1" applyBorder="1" applyAlignment="1">
      <alignment horizontal="left" vertical="top" wrapText="1"/>
    </xf>
    <xf numFmtId="0" fontId="4" fillId="0" borderId="2" xfId="0" applyFont="1" applyBorder="1" applyAlignment="1">
      <alignment horizontal="center"/>
    </xf>
    <xf numFmtId="15" fontId="4" fillId="0" borderId="2" xfId="0" applyNumberFormat="1" applyFont="1" applyBorder="1" applyAlignment="1">
      <alignment horizontal="center"/>
    </xf>
    <xf numFmtId="0" fontId="4" fillId="0" borderId="2" xfId="0" applyFont="1" applyBorder="1" applyAlignment="1">
      <alignment wrapText="1"/>
    </xf>
    <xf numFmtId="14" fontId="4" fillId="0" borderId="2" xfId="0" applyNumberFormat="1" applyFont="1" applyBorder="1" applyAlignment="1">
      <alignment horizontal="center"/>
    </xf>
    <xf numFmtId="0" fontId="1" fillId="0" borderId="6" xfId="2" applyFont="1" applyFill="1" applyBorder="1" applyAlignment="1" applyProtection="1">
      <alignment vertical="top" wrapText="1"/>
      <protection locked="0"/>
    </xf>
    <xf numFmtId="0" fontId="1" fillId="0" borderId="35" xfId="2" applyFont="1" applyFill="1" applyBorder="1" applyProtection="1">
      <protection locked="0"/>
    </xf>
    <xf numFmtId="0" fontId="1" fillId="0" borderId="18" xfId="2" applyFont="1" applyFill="1" applyBorder="1" applyAlignment="1" applyProtection="1">
      <alignment wrapText="1"/>
      <protection locked="0"/>
    </xf>
    <xf numFmtId="0" fontId="1" fillId="0" borderId="18" xfId="2" applyFont="1" applyFill="1" applyBorder="1" applyAlignment="1" applyProtection="1">
      <alignment horizontal="center" wrapText="1"/>
      <protection locked="0"/>
    </xf>
    <xf numFmtId="0" fontId="1" fillId="0" borderId="24" xfId="2" applyFont="1" applyFill="1" applyBorder="1" applyAlignment="1" applyProtection="1">
      <alignment horizontal="center" wrapText="1"/>
      <protection locked="0"/>
    </xf>
    <xf numFmtId="0" fontId="1" fillId="0" borderId="25" xfId="2" applyFont="1" applyFill="1" applyBorder="1" applyAlignment="1" applyProtection="1">
      <alignment horizontal="center" wrapText="1"/>
      <protection locked="0"/>
    </xf>
    <xf numFmtId="0" fontId="1" fillId="0" borderId="53" xfId="2" applyFont="1" applyFill="1" applyBorder="1" applyAlignment="1" applyProtection="1">
      <alignment horizontal="center"/>
      <protection locked="0"/>
    </xf>
    <xf numFmtId="0" fontId="1" fillId="0" borderId="3" xfId="2" applyFont="1" applyFill="1" applyBorder="1" applyAlignment="1" applyProtection="1">
      <alignment horizontal="center"/>
      <protection locked="0"/>
    </xf>
    <xf numFmtId="0" fontId="4" fillId="0" borderId="0" xfId="2" applyFont="1" applyFill="1" applyAlignment="1" applyProtection="1">
      <alignment horizontal="left"/>
      <protection locked="0"/>
    </xf>
    <xf numFmtId="0" fontId="4" fillId="0" borderId="0" xfId="2" applyFill="1" applyProtection="1">
      <protection locked="0"/>
    </xf>
    <xf numFmtId="0" fontId="16" fillId="0" borderId="22" xfId="2" applyNumberFormat="1" applyFont="1" applyFill="1" applyBorder="1" applyAlignment="1">
      <alignment vertical="top" wrapText="1"/>
    </xf>
    <xf numFmtId="0" fontId="16" fillId="0" borderId="18" xfId="2" applyFont="1" applyFill="1" applyBorder="1" applyAlignment="1">
      <alignment horizontal="left" vertical="top" wrapText="1"/>
    </xf>
    <xf numFmtId="0" fontId="16" fillId="0" borderId="18" xfId="2" applyNumberFormat="1" applyFont="1" applyFill="1" applyBorder="1" applyAlignment="1">
      <alignment horizontal="left" vertical="top" wrapText="1"/>
    </xf>
    <xf numFmtId="0" fontId="16" fillId="0" borderId="18" xfId="2" applyNumberFormat="1" applyFont="1" applyFill="1" applyBorder="1" applyAlignment="1" applyProtection="1">
      <alignment wrapText="1"/>
      <protection locked="0"/>
    </xf>
    <xf numFmtId="0" fontId="16" fillId="0" borderId="18" xfId="2" applyNumberFormat="1" applyFont="1" applyFill="1" applyBorder="1" applyAlignment="1" applyProtection="1">
      <alignment horizontal="center" wrapText="1"/>
      <protection locked="0"/>
    </xf>
    <xf numFmtId="0" fontId="16" fillId="0" borderId="18" xfId="2" applyNumberFormat="1" applyFont="1" applyFill="1" applyBorder="1" applyAlignment="1" applyProtection="1">
      <alignment horizontal="center"/>
      <protection locked="0"/>
    </xf>
    <xf numFmtId="0" fontId="16" fillId="0" borderId="18" xfId="2" applyNumberFormat="1" applyFont="1" applyFill="1" applyBorder="1" applyAlignment="1">
      <alignment horizontal="center"/>
    </xf>
    <xf numFmtId="0" fontId="21" fillId="13" borderId="22" xfId="2" applyNumberFormat="1" applyFont="1" applyFill="1" applyBorder="1" applyAlignment="1">
      <alignment vertical="top" wrapText="1"/>
    </xf>
    <xf numFmtId="0" fontId="21" fillId="13" borderId="18" xfId="2" applyFont="1" applyFill="1" applyBorder="1" applyAlignment="1">
      <alignment horizontal="left" vertical="top" wrapText="1"/>
    </xf>
    <xf numFmtId="0" fontId="21" fillId="13" borderId="18" xfId="2" applyNumberFormat="1" applyFont="1" applyFill="1" applyBorder="1" applyAlignment="1">
      <alignment horizontal="left" vertical="top" wrapText="1"/>
    </xf>
    <xf numFmtId="0" fontId="21" fillId="13" borderId="18" xfId="2" applyNumberFormat="1" applyFont="1" applyFill="1" applyBorder="1" applyAlignment="1" applyProtection="1">
      <alignment wrapText="1"/>
      <protection locked="0"/>
    </xf>
    <xf numFmtId="0" fontId="21" fillId="13" borderId="18" xfId="2" applyNumberFormat="1" applyFont="1" applyFill="1" applyBorder="1" applyAlignment="1" applyProtection="1">
      <alignment horizontal="center" wrapText="1"/>
      <protection locked="0"/>
    </xf>
    <xf numFmtId="0" fontId="21" fillId="13" borderId="18" xfId="2" applyNumberFormat="1" applyFont="1" applyFill="1" applyBorder="1" applyAlignment="1" applyProtection="1">
      <alignment horizontal="center"/>
      <protection locked="0"/>
    </xf>
    <xf numFmtId="0" fontId="21" fillId="13" borderId="18" xfId="2" applyNumberFormat="1" applyFont="1" applyFill="1" applyBorder="1" applyAlignment="1">
      <alignment horizontal="center"/>
    </xf>
    <xf numFmtId="11" fontId="21" fillId="13" borderId="69" xfId="2" applyNumberFormat="1" applyFont="1" applyFill="1" applyBorder="1" applyAlignment="1">
      <alignment horizontal="center"/>
    </xf>
    <xf numFmtId="11" fontId="21" fillId="13" borderId="69" xfId="2" applyNumberFormat="1" applyFont="1" applyFill="1" applyBorder="1" applyAlignment="1" applyProtection="1">
      <alignment horizontal="center"/>
      <protection locked="0"/>
    </xf>
    <xf numFmtId="0" fontId="21" fillId="13" borderId="69" xfId="2" applyFont="1" applyFill="1" applyBorder="1" applyAlignment="1">
      <alignment horizontal="center"/>
    </xf>
    <xf numFmtId="0" fontId="22" fillId="13" borderId="3" xfId="2" applyFont="1" applyFill="1" applyBorder="1" applyAlignment="1" applyProtection="1">
      <alignment horizontal="center"/>
      <protection locked="0"/>
    </xf>
    <xf numFmtId="0" fontId="23" fillId="13" borderId="0" xfId="2" applyFont="1" applyFill="1" applyAlignment="1" applyProtection="1">
      <alignment horizontal="left"/>
      <protection locked="0"/>
    </xf>
    <xf numFmtId="0" fontId="23" fillId="13" borderId="0" xfId="2" applyFont="1" applyFill="1" applyProtection="1">
      <protection locked="0"/>
    </xf>
    <xf numFmtId="0" fontId="5" fillId="9" borderId="14" xfId="0" applyFont="1" applyFill="1" applyBorder="1" applyAlignment="1" applyProtection="1">
      <alignment horizontal="center" vertical="center" wrapText="1"/>
      <protection locked="0"/>
    </xf>
    <xf numFmtId="0" fontId="5" fillId="9" borderId="30" xfId="0" applyFont="1" applyFill="1" applyBorder="1" applyAlignment="1" applyProtection="1">
      <alignment horizontal="center" vertical="center" wrapText="1"/>
      <protection locked="0"/>
    </xf>
    <xf numFmtId="0" fontId="4" fillId="0" borderId="68" xfId="0" applyFont="1" applyBorder="1" applyAlignment="1">
      <alignment horizontal="left" vertical="top" wrapText="1"/>
    </xf>
    <xf numFmtId="0" fontId="4" fillId="0" borderId="6" xfId="0" applyFont="1" applyBorder="1" applyAlignment="1">
      <alignment horizontal="left" vertical="top" wrapText="1"/>
    </xf>
    <xf numFmtId="0" fontId="4" fillId="0" borderId="68" xfId="0" applyFont="1" applyBorder="1" applyAlignment="1">
      <alignment horizontal="center" vertical="top"/>
    </xf>
    <xf numFmtId="0" fontId="4" fillId="0" borderId="6" xfId="0" applyFont="1" applyBorder="1" applyAlignment="1">
      <alignment horizontal="center" vertical="top"/>
    </xf>
    <xf numFmtId="15" fontId="4" fillId="0" borderId="68" xfId="0" applyNumberFormat="1" applyFont="1" applyBorder="1" applyAlignment="1">
      <alignment horizontal="center" vertical="top"/>
    </xf>
    <xf numFmtId="0" fontId="3" fillId="0" borderId="60" xfId="2" applyFont="1" applyBorder="1" applyAlignment="1">
      <alignment horizontal="center" wrapText="1"/>
    </xf>
    <xf numFmtId="0" fontId="3" fillId="0" borderId="61" xfId="2" applyFont="1" applyBorder="1" applyAlignment="1">
      <alignment horizontal="center" wrapText="1"/>
    </xf>
    <xf numFmtId="0" fontId="5" fillId="9" borderId="14" xfId="2" applyFont="1" applyFill="1" applyBorder="1" applyAlignment="1">
      <alignment horizontal="center" vertical="center" wrapText="1"/>
    </xf>
    <xf numFmtId="0" fontId="5" fillId="9" borderId="30" xfId="2" applyFont="1" applyFill="1" applyBorder="1" applyAlignment="1">
      <alignment horizontal="center" vertical="center" wrapText="1"/>
    </xf>
    <xf numFmtId="0" fontId="2" fillId="3" borderId="62" xfId="2" applyFont="1" applyFill="1" applyBorder="1" applyAlignment="1">
      <alignment horizontal="center" wrapText="1"/>
    </xf>
    <xf numFmtId="0" fontId="2" fillId="3" borderId="32" xfId="2" applyFont="1" applyFill="1" applyBorder="1" applyAlignment="1">
      <alignment horizontal="center" wrapText="1"/>
    </xf>
    <xf numFmtId="0" fontId="2" fillId="3" borderId="51" xfId="2" applyFont="1" applyFill="1" applyBorder="1" applyAlignment="1">
      <alignment horizontal="center" wrapText="1"/>
    </xf>
    <xf numFmtId="0" fontId="7" fillId="12" borderId="65" xfId="2" applyFont="1" applyFill="1" applyBorder="1" applyAlignment="1">
      <alignment horizontal="left" wrapText="1"/>
    </xf>
    <xf numFmtId="0" fontId="7" fillId="12" borderId="66" xfId="2" applyFont="1" applyFill="1" applyBorder="1" applyAlignment="1">
      <alignment horizontal="left" wrapText="1"/>
    </xf>
    <xf numFmtId="0" fontId="7" fillId="12" borderId="67" xfId="2" applyFont="1" applyFill="1" applyBorder="1" applyAlignment="1">
      <alignment horizontal="left" wrapText="1"/>
    </xf>
    <xf numFmtId="0" fontId="5" fillId="9" borderId="37" xfId="2" applyFont="1" applyFill="1" applyBorder="1" applyAlignment="1">
      <alignment horizontal="center" vertical="center" wrapText="1"/>
    </xf>
    <xf numFmtId="0" fontId="5" fillId="9" borderId="0" xfId="2" applyFont="1" applyFill="1" applyBorder="1" applyAlignment="1">
      <alignment horizontal="center" vertical="center" wrapText="1"/>
    </xf>
    <xf numFmtId="0" fontId="4" fillId="3" borderId="32" xfId="2" applyFont="1" applyFill="1" applyBorder="1" applyAlignment="1">
      <alignment horizontal="center"/>
    </xf>
    <xf numFmtId="0" fontId="2" fillId="3" borderId="23" xfId="2" applyFont="1" applyFill="1" applyBorder="1" applyAlignment="1">
      <alignment horizontal="center"/>
    </xf>
    <xf numFmtId="0" fontId="4" fillId="3" borderId="51" xfId="2" applyFont="1" applyFill="1" applyBorder="1" applyAlignment="1">
      <alignment horizontal="center"/>
    </xf>
    <xf numFmtId="0" fontId="5" fillId="9" borderId="14" xfId="0" applyFont="1" applyFill="1" applyBorder="1" applyAlignment="1">
      <alignment horizontal="center" vertical="center"/>
    </xf>
    <xf numFmtId="0" fontId="5" fillId="9" borderId="30" xfId="0" applyFont="1" applyFill="1" applyBorder="1" applyAlignment="1">
      <alignment horizontal="center" vertical="center"/>
    </xf>
    <xf numFmtId="0" fontId="2" fillId="3" borderId="62" xfId="0" applyFont="1" applyFill="1" applyBorder="1" applyAlignment="1">
      <alignment horizontal="center" wrapText="1"/>
    </xf>
    <xf numFmtId="0" fontId="4" fillId="3" borderId="32" xfId="0" applyFont="1" applyFill="1" applyBorder="1" applyAlignment="1">
      <alignment horizontal="center"/>
    </xf>
    <xf numFmtId="0" fontId="2" fillId="3" borderId="23" xfId="0" applyFont="1" applyFill="1" applyBorder="1" applyAlignment="1">
      <alignment horizontal="center"/>
    </xf>
    <xf numFmtId="0" fontId="6" fillId="3" borderId="32" xfId="0" applyFont="1" applyFill="1" applyBorder="1" applyAlignment="1">
      <alignment horizontal="center"/>
    </xf>
    <xf numFmtId="0" fontId="6" fillId="3" borderId="51" xfId="0" applyFont="1" applyFill="1" applyBorder="1" applyAlignment="1">
      <alignment horizontal="center"/>
    </xf>
    <xf numFmtId="0" fontId="3" fillId="5" borderId="23" xfId="0" applyFont="1" applyFill="1" applyBorder="1" applyAlignment="1">
      <alignment horizontal="center"/>
    </xf>
    <xf numFmtId="0" fontId="6" fillId="5" borderId="32" xfId="0" applyFont="1" applyFill="1" applyBorder="1" applyAlignment="1">
      <alignment horizontal="center"/>
    </xf>
    <xf numFmtId="0" fontId="6" fillId="5" borderId="51" xfId="0" applyFont="1" applyFill="1" applyBorder="1" applyAlignment="1">
      <alignment horizontal="center"/>
    </xf>
    <xf numFmtId="0" fontId="3" fillId="7" borderId="23" xfId="0" applyFont="1" applyFill="1" applyBorder="1" applyAlignment="1">
      <alignment horizontal="center"/>
    </xf>
    <xf numFmtId="0" fontId="6" fillId="7" borderId="32" xfId="0" applyFont="1" applyFill="1" applyBorder="1" applyAlignment="1">
      <alignment horizontal="center"/>
    </xf>
    <xf numFmtId="0" fontId="6" fillId="7" borderId="51" xfId="0" applyFont="1" applyFill="1" applyBorder="1" applyAlignment="1">
      <alignment horizontal="center"/>
    </xf>
    <xf numFmtId="0" fontId="3" fillId="10" borderId="23" xfId="0" applyFont="1" applyFill="1" applyBorder="1" applyAlignment="1">
      <alignment horizontal="center"/>
    </xf>
    <xf numFmtId="0" fontId="6" fillId="10" borderId="32" xfId="0" applyFont="1" applyFill="1" applyBorder="1" applyAlignment="1">
      <alignment horizontal="center"/>
    </xf>
    <xf numFmtId="0" fontId="6" fillId="10" borderId="51" xfId="0" applyFont="1" applyFill="1" applyBorder="1" applyAlignment="1">
      <alignment horizontal="center"/>
    </xf>
    <xf numFmtId="0" fontId="3" fillId="8" borderId="23" xfId="0" applyFont="1" applyFill="1" applyBorder="1" applyAlignment="1">
      <alignment horizontal="center"/>
    </xf>
    <xf numFmtId="0" fontId="6" fillId="8" borderId="32" xfId="0" applyFont="1" applyFill="1" applyBorder="1" applyAlignment="1">
      <alignment horizontal="center"/>
    </xf>
    <xf numFmtId="0" fontId="6" fillId="8" borderId="51" xfId="0" applyFont="1" applyFill="1" applyBorder="1" applyAlignment="1">
      <alignment horizontal="center"/>
    </xf>
    <xf numFmtId="0" fontId="5" fillId="9" borderId="29" xfId="2" applyFont="1" applyFill="1" applyBorder="1" applyAlignment="1">
      <alignment horizontal="center" vertical="center" wrapText="1"/>
    </xf>
    <xf numFmtId="0" fontId="2" fillId="3" borderId="23" xfId="2" applyFont="1" applyFill="1" applyBorder="1" applyAlignment="1">
      <alignment horizontal="center" wrapText="1"/>
    </xf>
    <xf numFmtId="0" fontId="4" fillId="0" borderId="32" xfId="2" applyBorder="1"/>
    <xf numFmtId="0" fontId="4" fillId="0" borderId="51" xfId="2" applyBorder="1"/>
    <xf numFmtId="0" fontId="3" fillId="0" borderId="23" xfId="2" applyFont="1" applyBorder="1" applyAlignment="1">
      <alignment horizontal="center" wrapText="1"/>
    </xf>
    <xf numFmtId="0" fontId="3" fillId="0" borderId="32" xfId="2" applyFont="1" applyBorder="1" applyAlignment="1">
      <alignment horizontal="center" wrapText="1"/>
    </xf>
    <xf numFmtId="0" fontId="0" fillId="0" borderId="0" xfId="0" applyFill="1" applyBorder="1" applyAlignment="1" applyProtection="1">
      <alignment vertical="top"/>
      <protection locked="0"/>
    </xf>
    <xf numFmtId="0" fontId="4" fillId="0" borderId="0" xfId="0" applyFont="1" applyFill="1" applyAlignment="1">
      <alignment vertical="top"/>
    </xf>
    <xf numFmtId="0" fontId="0" fillId="0" borderId="0" xfId="0" applyFill="1" applyAlignment="1">
      <alignment vertical="top"/>
    </xf>
    <xf numFmtId="0" fontId="0" fillId="0" borderId="0" xfId="0" applyFill="1" applyBorder="1" applyAlignment="1" applyProtection="1">
      <alignment vertical="top" wrapText="1"/>
      <protection locked="0"/>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xf numFmtId="0" fontId="16" fillId="13" borderId="53" xfId="2" applyFont="1" applyFill="1" applyBorder="1" applyAlignment="1">
      <alignment horizontal="center"/>
    </xf>
  </cellXfs>
  <cellStyles count="3">
    <cellStyle name="Heading" xfId="1"/>
    <cellStyle name="Normal" xfId="0" builtinId="0"/>
    <cellStyle name="Normal 2" xfId="2"/>
  </cellStyles>
  <dxfs count="81">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rgb="FFFFFF66"/>
        </patternFill>
      </fill>
    </dxf>
    <dxf>
      <fill>
        <patternFill>
          <bgColor rgb="FFFFFF66"/>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xdr:cNvSpPr>
          <a:spLocks noRot="1" noChangeArrowheads="1" noChangeShapeType="1" noTextEdit="1"/>
        </xdr:cNvSpPr>
      </xdr:nvSpPr>
      <xdr:spPr bwMode="auto">
        <a:xfrm>
          <a:off x="8848725" y="4219575"/>
          <a:ext cx="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6"/>
  <sheetViews>
    <sheetView zoomScaleNormal="100" workbookViewId="0">
      <selection activeCell="D22" sqref="D22"/>
    </sheetView>
  </sheetViews>
  <sheetFormatPr defaultRowHeight="12.75" x14ac:dyDescent="0.2"/>
  <cols>
    <col min="1" max="1" width="15" customWidth="1"/>
    <col min="3" max="3" width="14.7109375" customWidth="1"/>
    <col min="4" max="4" width="68.28515625" style="4" customWidth="1"/>
    <col min="8" max="8" width="10.42578125" bestFit="1" customWidth="1"/>
  </cols>
  <sheetData>
    <row r="1" spans="1:14" ht="18.75" thickBot="1" x14ac:dyDescent="0.25">
      <c r="A1" s="318" t="str">
        <f>CONCATENATE("Digitial Column Position Sensor I2C - Rev ",MAX($A$3:$A$46))</f>
        <v>Digitial Column Position Sensor I2C - Rev 9</v>
      </c>
      <c r="B1" s="319"/>
      <c r="C1" s="319"/>
      <c r="D1" s="319"/>
      <c r="E1" s="205" t="s">
        <v>152</v>
      </c>
      <c r="F1" s="148"/>
      <c r="G1" s="148"/>
      <c r="H1" s="148"/>
      <c r="I1" s="148"/>
      <c r="J1" s="148"/>
      <c r="K1" s="148"/>
      <c r="L1" s="148"/>
      <c r="M1" s="148"/>
      <c r="N1" s="148"/>
    </row>
    <row r="2" spans="1:14" x14ac:dyDescent="0.2">
      <c r="A2" s="6" t="s">
        <v>47</v>
      </c>
      <c r="B2" s="6" t="s">
        <v>48</v>
      </c>
      <c r="C2" s="6" t="s">
        <v>49</v>
      </c>
      <c r="D2" s="3" t="s">
        <v>50</v>
      </c>
      <c r="G2" s="169" t="s">
        <v>149</v>
      </c>
      <c r="H2" t="s">
        <v>148</v>
      </c>
    </row>
    <row r="3" spans="1:14" x14ac:dyDescent="0.2">
      <c r="A3" s="220">
        <v>1</v>
      </c>
      <c r="B3" s="6" t="s">
        <v>228</v>
      </c>
      <c r="C3" s="5">
        <v>41464</v>
      </c>
      <c r="D3" s="3" t="s">
        <v>229</v>
      </c>
    </row>
    <row r="4" spans="1:14" x14ac:dyDescent="0.2">
      <c r="A4" s="6">
        <v>2</v>
      </c>
      <c r="B4" s="6" t="s">
        <v>228</v>
      </c>
      <c r="C4" s="5">
        <v>41478</v>
      </c>
      <c r="D4" s="3" t="s">
        <v>406</v>
      </c>
    </row>
    <row r="5" spans="1:14" x14ac:dyDescent="0.2">
      <c r="A5" s="322">
        <v>3</v>
      </c>
      <c r="B5" s="322" t="s">
        <v>409</v>
      </c>
      <c r="C5" s="324">
        <v>41697</v>
      </c>
      <c r="D5" s="320" t="s">
        <v>431</v>
      </c>
    </row>
    <row r="6" spans="1:14" ht="45.75" customHeight="1" x14ac:dyDescent="0.2">
      <c r="A6" s="323"/>
      <c r="B6" s="323"/>
      <c r="C6" s="323"/>
      <c r="D6" s="321"/>
    </row>
    <row r="7" spans="1:14" x14ac:dyDescent="0.2">
      <c r="A7" s="284">
        <v>4</v>
      </c>
      <c r="B7" s="284" t="s">
        <v>409</v>
      </c>
      <c r="C7" s="285">
        <v>41718</v>
      </c>
      <c r="D7" s="286" t="s">
        <v>439</v>
      </c>
    </row>
    <row r="8" spans="1:14" x14ac:dyDescent="0.2">
      <c r="A8" s="284">
        <v>5</v>
      </c>
      <c r="B8" s="284" t="s">
        <v>409</v>
      </c>
      <c r="C8" s="287">
        <v>41746</v>
      </c>
      <c r="D8" s="284" t="s">
        <v>443</v>
      </c>
    </row>
    <row r="9" spans="1:14" x14ac:dyDescent="0.2">
      <c r="A9" s="6">
        <v>6</v>
      </c>
      <c r="B9" s="6" t="s">
        <v>445</v>
      </c>
      <c r="C9" s="5">
        <v>41770</v>
      </c>
      <c r="D9" s="284" t="s">
        <v>446</v>
      </c>
    </row>
    <row r="10" spans="1:14" x14ac:dyDescent="0.2">
      <c r="A10" s="6">
        <v>7</v>
      </c>
      <c r="B10" s="6" t="s">
        <v>228</v>
      </c>
      <c r="C10" s="5">
        <v>41817</v>
      </c>
      <c r="D10" s="286" t="s">
        <v>459</v>
      </c>
    </row>
    <row r="11" spans="1:14" x14ac:dyDescent="0.2">
      <c r="A11" s="6">
        <v>8</v>
      </c>
      <c r="B11" s="6" t="s">
        <v>445</v>
      </c>
      <c r="C11" s="5">
        <v>41851</v>
      </c>
      <c r="D11" s="3" t="s">
        <v>463</v>
      </c>
    </row>
    <row r="12" spans="1:14" x14ac:dyDescent="0.2">
      <c r="A12" s="6">
        <v>9</v>
      </c>
      <c r="B12" s="6" t="s">
        <v>445</v>
      </c>
      <c r="C12" s="5">
        <v>41922</v>
      </c>
      <c r="D12" s="3" t="s">
        <v>464</v>
      </c>
    </row>
    <row r="13" spans="1:14" x14ac:dyDescent="0.2">
      <c r="A13" s="7"/>
      <c r="B13" s="6"/>
      <c r="C13" s="5"/>
      <c r="D13" s="3"/>
    </row>
    <row r="14" spans="1:14" x14ac:dyDescent="0.2">
      <c r="A14" s="6"/>
      <c r="B14" s="6"/>
      <c r="C14" s="5"/>
      <c r="D14" s="3"/>
    </row>
    <row r="15" spans="1:14" x14ac:dyDescent="0.2">
      <c r="A15" s="6"/>
      <c r="B15" s="6"/>
      <c r="C15" s="5"/>
      <c r="D15" s="3"/>
    </row>
    <row r="16" spans="1:14" x14ac:dyDescent="0.2">
      <c r="A16" s="6"/>
      <c r="B16" s="6"/>
      <c r="C16" s="5"/>
      <c r="D16" s="3"/>
    </row>
    <row r="17" spans="1:4" x14ac:dyDescent="0.2">
      <c r="A17" s="6"/>
      <c r="B17" s="6"/>
      <c r="C17" s="5"/>
      <c r="D17" s="3"/>
    </row>
    <row r="18" spans="1:4" x14ac:dyDescent="0.2">
      <c r="A18" s="6"/>
      <c r="B18" s="6"/>
      <c r="C18" s="5"/>
      <c r="D18" s="3"/>
    </row>
    <row r="19" spans="1:4" x14ac:dyDescent="0.2">
      <c r="A19" s="6"/>
      <c r="B19" s="6"/>
      <c r="C19" s="5"/>
      <c r="D19" s="3"/>
    </row>
    <row r="20" spans="1:4" x14ac:dyDescent="0.2">
      <c r="A20" s="6"/>
      <c r="B20" s="6"/>
      <c r="C20" s="5"/>
      <c r="D20" s="3"/>
    </row>
    <row r="21" spans="1:4" x14ac:dyDescent="0.2">
      <c r="A21" s="6"/>
      <c r="B21" s="6"/>
      <c r="C21" s="5"/>
      <c r="D21" s="3"/>
    </row>
    <row r="22" spans="1:4" x14ac:dyDescent="0.2">
      <c r="A22" s="6"/>
      <c r="B22" s="6"/>
      <c r="C22" s="5"/>
      <c r="D22" s="3"/>
    </row>
    <row r="23" spans="1:4" x14ac:dyDescent="0.2">
      <c r="A23" s="6"/>
      <c r="B23" s="6"/>
      <c r="C23" s="5"/>
      <c r="D23" s="3"/>
    </row>
    <row r="24" spans="1:4" x14ac:dyDescent="0.2">
      <c r="A24" s="6"/>
      <c r="B24" s="6"/>
      <c r="C24" s="5"/>
      <c r="D24" s="3"/>
    </row>
    <row r="25" spans="1:4" x14ac:dyDescent="0.2">
      <c r="A25" s="6"/>
      <c r="B25" s="6"/>
      <c r="C25" s="5"/>
      <c r="D25" s="3"/>
    </row>
    <row r="26" spans="1:4" x14ac:dyDescent="0.2">
      <c r="A26" s="6"/>
      <c r="B26" s="6"/>
      <c r="C26" s="5"/>
      <c r="D26" s="3"/>
    </row>
    <row r="27" spans="1:4" x14ac:dyDescent="0.2">
      <c r="A27" s="6"/>
      <c r="B27" s="6"/>
      <c r="C27" s="5"/>
      <c r="D27" s="3"/>
    </row>
    <row r="28" spans="1:4" x14ac:dyDescent="0.2">
      <c r="A28" s="6"/>
      <c r="B28" s="6"/>
      <c r="C28" s="5"/>
      <c r="D28" s="3"/>
    </row>
    <row r="29" spans="1:4" x14ac:dyDescent="0.2">
      <c r="A29" s="6"/>
      <c r="B29" s="6"/>
      <c r="C29" s="5"/>
      <c r="D29" s="3"/>
    </row>
    <row r="30" spans="1:4" x14ac:dyDescent="0.2">
      <c r="A30" s="6"/>
      <c r="B30" s="6"/>
      <c r="C30" s="6"/>
      <c r="D30" s="3"/>
    </row>
    <row r="31" spans="1:4" x14ac:dyDescent="0.2">
      <c r="A31" s="6"/>
      <c r="B31" s="6"/>
      <c r="C31" s="6"/>
      <c r="D31" s="3"/>
    </row>
    <row r="32" spans="1:4" x14ac:dyDescent="0.2">
      <c r="A32" s="6"/>
      <c r="B32" s="6"/>
      <c r="C32" s="6"/>
      <c r="D32" s="3"/>
    </row>
    <row r="33" spans="1:4" x14ac:dyDescent="0.2">
      <c r="A33" s="6"/>
      <c r="B33" s="6"/>
      <c r="C33" s="6"/>
      <c r="D33" s="3"/>
    </row>
    <row r="34" spans="1:4" x14ac:dyDescent="0.2">
      <c r="A34" s="6"/>
      <c r="B34" s="6"/>
      <c r="C34" s="6"/>
      <c r="D34" s="3"/>
    </row>
    <row r="35" spans="1:4" x14ac:dyDescent="0.2">
      <c r="A35" s="6"/>
      <c r="B35" s="6"/>
      <c r="C35" s="6"/>
      <c r="D35" s="3"/>
    </row>
    <row r="36" spans="1:4" x14ac:dyDescent="0.2">
      <c r="A36" s="6"/>
      <c r="B36" s="6"/>
      <c r="C36" s="6"/>
      <c r="D36" s="3"/>
    </row>
    <row r="37" spans="1:4" x14ac:dyDescent="0.2">
      <c r="A37" s="6"/>
      <c r="B37" s="6"/>
      <c r="C37" s="6"/>
      <c r="D37" s="3"/>
    </row>
    <row r="38" spans="1:4" x14ac:dyDescent="0.2">
      <c r="A38" s="6"/>
      <c r="B38" s="6"/>
      <c r="C38" s="6"/>
      <c r="D38" s="3"/>
    </row>
    <row r="39" spans="1:4" x14ac:dyDescent="0.2">
      <c r="A39" s="6"/>
      <c r="B39" s="6"/>
      <c r="C39" s="6"/>
      <c r="D39" s="3"/>
    </row>
    <row r="40" spans="1:4" x14ac:dyDescent="0.2">
      <c r="A40" s="6"/>
      <c r="B40" s="6"/>
      <c r="C40" s="6"/>
      <c r="D40" s="3"/>
    </row>
    <row r="41" spans="1:4" x14ac:dyDescent="0.2">
      <c r="A41" s="6"/>
      <c r="B41" s="6"/>
      <c r="C41" s="6"/>
      <c r="D41" s="3"/>
    </row>
    <row r="42" spans="1:4" x14ac:dyDescent="0.2">
      <c r="A42" s="6"/>
      <c r="B42" s="6"/>
      <c r="C42" s="6"/>
      <c r="D42" s="3"/>
    </row>
    <row r="43" spans="1:4" x14ac:dyDescent="0.2">
      <c r="A43" s="6"/>
      <c r="B43" s="6"/>
      <c r="C43" s="6"/>
      <c r="D43" s="3"/>
    </row>
    <row r="44" spans="1:4" x14ac:dyDescent="0.2">
      <c r="A44" s="6"/>
      <c r="B44" s="6"/>
      <c r="C44" s="6"/>
      <c r="D44" s="3"/>
    </row>
    <row r="45" spans="1:4" x14ac:dyDescent="0.2">
      <c r="A45" s="6"/>
      <c r="B45" s="6"/>
      <c r="C45" s="6"/>
      <c r="D45" s="3"/>
    </row>
    <row r="46" spans="1:4" x14ac:dyDescent="0.2">
      <c r="A46" s="6"/>
      <c r="B46" s="6"/>
      <c r="C46" s="6"/>
      <c r="D46" s="3"/>
    </row>
  </sheetData>
  <autoFilter ref="A2:D4"/>
  <mergeCells count="5">
    <mergeCell ref="A1:D1"/>
    <mergeCell ref="D5:D6"/>
    <mergeCell ref="A5:A6"/>
    <mergeCell ref="B5:B6"/>
    <mergeCell ref="C5:C6"/>
  </mergeCells>
  <phoneticPr fontId="0" type="noConversion"/>
  <dataValidations count="1">
    <dataValidation type="list" allowBlank="1" showInputMessage="1" showErrorMessage="1" sqref="H2">
      <formula1>"Integration, Component"</formula1>
    </dataValidation>
  </dataValidation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W98"/>
  <sheetViews>
    <sheetView tabSelected="1" topLeftCell="A22" zoomScaleNormal="100" workbookViewId="0">
      <selection activeCell="K68" sqref="K68"/>
    </sheetView>
  </sheetViews>
  <sheetFormatPr defaultRowHeight="12.75" x14ac:dyDescent="0.2"/>
  <cols>
    <col min="1" max="1" width="42.7109375" style="200" bestFit="1" customWidth="1"/>
    <col min="2" max="2" width="29.85546875" style="200" customWidth="1"/>
    <col min="3" max="3" width="29.85546875" style="200" hidden="1" customWidth="1"/>
    <col min="4" max="4" width="36.5703125" style="200" bestFit="1" customWidth="1"/>
    <col min="5" max="5" width="12.140625" style="201" bestFit="1" customWidth="1"/>
    <col min="6" max="6" width="7.140625" style="202" bestFit="1" customWidth="1"/>
    <col min="7" max="7" width="5.7109375" style="202" bestFit="1" customWidth="1"/>
    <col min="8" max="8" width="9.140625" style="202" bestFit="1" customWidth="1"/>
    <col min="9" max="9" width="17.85546875" style="203" bestFit="1" customWidth="1"/>
    <col min="10" max="10" width="12.28515625" style="203" customWidth="1"/>
    <col min="11" max="11" width="12.140625" style="204" customWidth="1"/>
    <col min="12" max="12" width="21.7109375" style="203" bestFit="1" customWidth="1"/>
    <col min="13" max="13" width="15.140625" style="203" bestFit="1" customWidth="1"/>
    <col min="14" max="14" width="14.85546875" style="203" bestFit="1" customWidth="1"/>
    <col min="15" max="15" width="15.7109375" style="203" bestFit="1" customWidth="1"/>
    <col min="16" max="16" width="17.42578125" style="203" hidden="1" customWidth="1"/>
    <col min="17" max="17" width="36.85546875" style="194" bestFit="1" customWidth="1"/>
    <col min="18" max="18" width="4.5703125" style="194" customWidth="1"/>
    <col min="19" max="19" width="2.5703125" style="195" bestFit="1" customWidth="1"/>
    <col min="20" max="20" width="2.42578125" style="195" bestFit="1" customWidth="1"/>
    <col min="21" max="21" width="2.5703125" style="195" bestFit="1" customWidth="1"/>
    <col min="22" max="23" width="2.28515625" style="195" bestFit="1" customWidth="1"/>
    <col min="24" max="16384" width="9.140625" style="195"/>
  </cols>
  <sheetData>
    <row r="1" spans="1:23" s="130" customFormat="1" ht="29.25" customHeight="1" thickBot="1" x14ac:dyDescent="0.25">
      <c r="A1" s="327" t="str">
        <f>'Change Log'!A1:D1</f>
        <v>Digitial Column Position Sensor I2C - Rev 9</v>
      </c>
      <c r="B1" s="328"/>
      <c r="C1" s="328"/>
      <c r="D1" s="328"/>
      <c r="E1" s="328"/>
      <c r="F1" s="328"/>
      <c r="G1" s="328"/>
      <c r="H1" s="328"/>
      <c r="I1" s="328"/>
      <c r="J1" s="328"/>
      <c r="K1" s="328"/>
      <c r="L1" s="328"/>
      <c r="M1" s="328"/>
      <c r="N1" s="328"/>
      <c r="O1" s="328"/>
      <c r="P1" s="328"/>
      <c r="Q1" s="128"/>
      <c r="R1" s="128"/>
      <c r="S1" s="129" t="s">
        <v>140</v>
      </c>
      <c r="T1" s="129" t="s">
        <v>142</v>
      </c>
      <c r="U1" s="129" t="s">
        <v>143</v>
      </c>
      <c r="V1" s="129" t="s">
        <v>145</v>
      </c>
      <c r="W1" s="129" t="s">
        <v>82</v>
      </c>
    </row>
    <row r="2" spans="1:23" s="130" customFormat="1" ht="13.5" thickBot="1" x14ac:dyDescent="0.25">
      <c r="A2" s="329" t="s">
        <v>141</v>
      </c>
      <c r="B2" s="330"/>
      <c r="C2" s="330"/>
      <c r="D2" s="330"/>
      <c r="E2" s="330"/>
      <c r="F2" s="330"/>
      <c r="G2" s="330"/>
      <c r="H2" s="330"/>
      <c r="I2" s="330"/>
      <c r="J2" s="330"/>
      <c r="K2" s="330"/>
      <c r="L2" s="330"/>
      <c r="M2" s="330"/>
      <c r="N2" s="330"/>
      <c r="O2" s="330"/>
      <c r="P2" s="331"/>
      <c r="Q2" s="133"/>
      <c r="R2" s="133"/>
      <c r="S2" s="129" t="s">
        <v>81</v>
      </c>
      <c r="T2" s="129" t="s">
        <v>82</v>
      </c>
      <c r="U2" s="129"/>
    </row>
    <row r="3" spans="1:23" s="130" customFormat="1" x14ac:dyDescent="0.2">
      <c r="A3" s="170"/>
      <c r="B3" s="171"/>
      <c r="C3" s="171"/>
      <c r="D3" s="171"/>
      <c r="E3" s="172"/>
      <c r="F3" s="173"/>
      <c r="G3" s="174"/>
      <c r="H3" s="173"/>
      <c r="I3" s="175"/>
      <c r="J3" s="325" t="s">
        <v>83</v>
      </c>
      <c r="K3" s="326"/>
      <c r="L3" s="176"/>
      <c r="M3" s="176"/>
      <c r="N3" s="176"/>
      <c r="O3" s="177"/>
      <c r="P3" s="177"/>
      <c r="Q3" s="134"/>
      <c r="R3" s="134"/>
      <c r="S3" s="129"/>
    </row>
    <row r="4" spans="1:23" s="130" customFormat="1" ht="23.25" thickBot="1" x14ac:dyDescent="0.25">
      <c r="A4" s="178" t="s">
        <v>144</v>
      </c>
      <c r="B4" s="253" t="s">
        <v>136</v>
      </c>
      <c r="C4" s="180" t="s">
        <v>94</v>
      </c>
      <c r="D4" s="179" t="s">
        <v>155</v>
      </c>
      <c r="E4" s="180" t="s">
        <v>57</v>
      </c>
      <c r="F4" s="180" t="s">
        <v>165</v>
      </c>
      <c r="G4" s="181" t="s">
        <v>137</v>
      </c>
      <c r="H4" s="180" t="s">
        <v>167</v>
      </c>
      <c r="I4" s="182" t="s">
        <v>150</v>
      </c>
      <c r="J4" s="182" t="s">
        <v>138</v>
      </c>
      <c r="K4" s="183" t="s">
        <v>139</v>
      </c>
      <c r="L4" s="180" t="s">
        <v>51</v>
      </c>
      <c r="M4" s="180" t="s">
        <v>151</v>
      </c>
      <c r="N4" s="180" t="s">
        <v>52</v>
      </c>
      <c r="O4" s="184" t="s">
        <v>90</v>
      </c>
      <c r="P4" s="177" t="s">
        <v>85</v>
      </c>
      <c r="Q4" s="133"/>
      <c r="R4" s="133"/>
      <c r="S4" s="135"/>
    </row>
    <row r="5" spans="1:23" s="130" customFormat="1" ht="15" customHeight="1" x14ac:dyDescent="0.2">
      <c r="A5" s="136" t="s">
        <v>338</v>
      </c>
      <c r="B5" s="137"/>
      <c r="C5" s="137"/>
      <c r="D5" s="137"/>
      <c r="E5" s="138"/>
      <c r="F5" s="139"/>
      <c r="G5" s="139"/>
      <c r="H5" s="139"/>
      <c r="I5" s="141"/>
      <c r="J5" s="141"/>
      <c r="K5" s="140"/>
      <c r="L5" s="141"/>
      <c r="M5" s="141"/>
      <c r="N5" s="141"/>
      <c r="O5" s="141"/>
      <c r="P5" s="141"/>
      <c r="Q5" s="133"/>
      <c r="R5" s="133"/>
    </row>
    <row r="6" spans="1:23" x14ac:dyDescent="0.2">
      <c r="A6" s="225" t="s">
        <v>399</v>
      </c>
      <c r="B6" s="186" t="s">
        <v>343</v>
      </c>
      <c r="C6" s="186"/>
      <c r="D6" s="187" t="s">
        <v>401</v>
      </c>
      <c r="E6" s="187"/>
      <c r="F6" s="188" t="s">
        <v>142</v>
      </c>
      <c r="G6" s="189" t="s">
        <v>82</v>
      </c>
      <c r="H6" s="219"/>
      <c r="I6" s="190">
        <v>0</v>
      </c>
      <c r="J6" s="191">
        <v>-900</v>
      </c>
      <c r="K6" s="191">
        <v>900</v>
      </c>
      <c r="L6" s="191" t="s">
        <v>335</v>
      </c>
      <c r="M6" s="192" t="s">
        <v>342</v>
      </c>
      <c r="N6" s="191" t="s">
        <v>345</v>
      </c>
      <c r="O6" s="142" t="s">
        <v>248</v>
      </c>
      <c r="P6" s="193"/>
    </row>
    <row r="7" spans="1:23" x14ac:dyDescent="0.2">
      <c r="A7" s="225" t="s">
        <v>400</v>
      </c>
      <c r="B7" s="186" t="s">
        <v>344</v>
      </c>
      <c r="C7" s="186"/>
      <c r="D7" s="187" t="s">
        <v>401</v>
      </c>
      <c r="E7" s="187"/>
      <c r="F7" s="188" t="s">
        <v>142</v>
      </c>
      <c r="G7" s="189" t="s">
        <v>82</v>
      </c>
      <c r="H7" s="219"/>
      <c r="I7" s="190" t="b">
        <v>0</v>
      </c>
      <c r="J7" s="191" t="b">
        <v>0</v>
      </c>
      <c r="K7" s="191" t="b">
        <v>1</v>
      </c>
      <c r="L7" s="191" t="s">
        <v>333</v>
      </c>
      <c r="M7" s="192" t="s">
        <v>333</v>
      </c>
      <c r="N7" s="191" t="s">
        <v>241</v>
      </c>
      <c r="O7" s="142" t="s">
        <v>242</v>
      </c>
      <c r="P7" s="193"/>
    </row>
    <row r="8" spans="1:23" x14ac:dyDescent="0.2">
      <c r="A8" s="244" t="s">
        <v>440</v>
      </c>
      <c r="B8" s="280"/>
      <c r="C8" s="280"/>
      <c r="D8" s="245" t="s">
        <v>401</v>
      </c>
      <c r="E8" s="245"/>
      <c r="F8" s="246" t="s">
        <v>142</v>
      </c>
      <c r="G8" s="247" t="s">
        <v>82</v>
      </c>
      <c r="H8" s="248"/>
      <c r="I8" s="249" t="b">
        <v>0</v>
      </c>
      <c r="J8" s="250" t="b">
        <v>0</v>
      </c>
      <c r="K8" s="250" t="b">
        <v>1</v>
      </c>
      <c r="L8" s="250" t="s">
        <v>333</v>
      </c>
      <c r="M8" s="251" t="s">
        <v>333</v>
      </c>
      <c r="N8" s="250" t="s">
        <v>241</v>
      </c>
      <c r="O8" s="252" t="s">
        <v>242</v>
      </c>
      <c r="P8" s="193"/>
    </row>
    <row r="9" spans="1:23" x14ac:dyDescent="0.2">
      <c r="A9" s="244" t="s">
        <v>441</v>
      </c>
      <c r="B9" s="280"/>
      <c r="D9" s="245" t="s">
        <v>401</v>
      </c>
      <c r="E9" s="245"/>
      <c r="F9" s="246" t="s">
        <v>140</v>
      </c>
      <c r="G9" s="247" t="s">
        <v>82</v>
      </c>
      <c r="H9" s="248"/>
      <c r="I9" s="249">
        <v>1</v>
      </c>
      <c r="J9" s="250">
        <v>0</v>
      </c>
      <c r="K9" s="250">
        <v>2</v>
      </c>
      <c r="L9" s="250">
        <v>1</v>
      </c>
      <c r="M9" s="250">
        <v>0</v>
      </c>
      <c r="N9" s="250" t="s">
        <v>241</v>
      </c>
      <c r="O9" s="252" t="s">
        <v>442</v>
      </c>
      <c r="P9" s="193"/>
    </row>
    <row r="10" spans="1:23" x14ac:dyDescent="0.2">
      <c r="A10" s="225" t="s">
        <v>346</v>
      </c>
      <c r="B10" s="186"/>
      <c r="C10" s="186"/>
      <c r="D10" s="187" t="s">
        <v>401</v>
      </c>
      <c r="E10" s="187"/>
      <c r="F10" s="188" t="s">
        <v>143</v>
      </c>
      <c r="G10" s="189" t="s">
        <v>82</v>
      </c>
      <c r="H10" s="219"/>
      <c r="I10" s="190">
        <v>0</v>
      </c>
      <c r="J10" s="191">
        <v>0</v>
      </c>
      <c r="K10" s="191">
        <v>360</v>
      </c>
      <c r="L10" s="191" t="s">
        <v>335</v>
      </c>
      <c r="M10" s="192">
        <v>1.220703125E-4</v>
      </c>
      <c r="N10" s="191" t="s">
        <v>246</v>
      </c>
      <c r="O10" s="142" t="s">
        <v>248</v>
      </c>
      <c r="P10" s="193"/>
    </row>
    <row r="11" spans="1:23" x14ac:dyDescent="0.2">
      <c r="A11" s="225" t="s">
        <v>347</v>
      </c>
      <c r="B11" s="186"/>
      <c r="C11" s="186"/>
      <c r="D11" s="187" t="s">
        <v>401</v>
      </c>
      <c r="E11" s="187"/>
      <c r="F11" s="188" t="s">
        <v>143</v>
      </c>
      <c r="G11" s="189" t="s">
        <v>82</v>
      </c>
      <c r="H11" s="219"/>
      <c r="I11" s="190">
        <v>0</v>
      </c>
      <c r="J11" s="191">
        <v>0</v>
      </c>
      <c r="K11" s="191">
        <v>360</v>
      </c>
      <c r="L11" s="191" t="s">
        <v>335</v>
      </c>
      <c r="M11" s="192">
        <v>1.220703125E-4</v>
      </c>
      <c r="N11" s="191" t="s">
        <v>246</v>
      </c>
      <c r="O11" s="142" t="s">
        <v>248</v>
      </c>
      <c r="P11" s="193"/>
    </row>
    <row r="12" spans="1:23" x14ac:dyDescent="0.2">
      <c r="A12" s="225" t="s">
        <v>348</v>
      </c>
      <c r="B12" s="186"/>
      <c r="C12" s="186"/>
      <c r="D12" s="187" t="s">
        <v>401</v>
      </c>
      <c r="E12" s="187"/>
      <c r="F12" s="188" t="s">
        <v>143</v>
      </c>
      <c r="G12" s="189" t="s">
        <v>82</v>
      </c>
      <c r="H12" s="219"/>
      <c r="I12" s="190">
        <v>0</v>
      </c>
      <c r="J12" s="191">
        <v>0</v>
      </c>
      <c r="K12" s="191">
        <v>360</v>
      </c>
      <c r="L12" s="191" t="s">
        <v>335</v>
      </c>
      <c r="M12" s="192">
        <v>1.220703125E-4</v>
      </c>
      <c r="N12" s="191" t="s">
        <v>246</v>
      </c>
      <c r="O12" s="142" t="s">
        <v>248</v>
      </c>
      <c r="P12" s="193"/>
    </row>
    <row r="13" spans="1:23" x14ac:dyDescent="0.2">
      <c r="A13" s="225" t="s">
        <v>349</v>
      </c>
      <c r="B13" s="186"/>
      <c r="C13" s="186"/>
      <c r="D13" s="187" t="s">
        <v>401</v>
      </c>
      <c r="E13" s="187"/>
      <c r="F13" s="188" t="s">
        <v>143</v>
      </c>
      <c r="G13" s="189" t="s">
        <v>82</v>
      </c>
      <c r="H13" s="219"/>
      <c r="I13" s="190">
        <v>0</v>
      </c>
      <c r="J13" s="191">
        <v>0</v>
      </c>
      <c r="K13" s="191">
        <v>360</v>
      </c>
      <c r="L13" s="191" t="s">
        <v>335</v>
      </c>
      <c r="M13" s="192">
        <v>1.220703125E-4</v>
      </c>
      <c r="N13" s="191" t="s">
        <v>246</v>
      </c>
      <c r="O13" s="142" t="s">
        <v>248</v>
      </c>
      <c r="P13" s="193"/>
    </row>
    <row r="14" spans="1:23" ht="12.75" customHeight="1" x14ac:dyDescent="0.2">
      <c r="A14" s="225" t="s">
        <v>350</v>
      </c>
      <c r="B14" s="186"/>
      <c r="C14" s="186"/>
      <c r="D14" s="187" t="s">
        <v>401</v>
      </c>
      <c r="E14" s="187"/>
      <c r="F14" s="188" t="s">
        <v>143</v>
      </c>
      <c r="G14" s="189" t="s">
        <v>82</v>
      </c>
      <c r="H14" s="219"/>
      <c r="I14" s="190">
        <v>0</v>
      </c>
      <c r="J14" s="371">
        <v>0</v>
      </c>
      <c r="K14" s="371">
        <v>3600</v>
      </c>
      <c r="L14" s="191" t="s">
        <v>335</v>
      </c>
      <c r="M14" s="192">
        <v>1.220703125E-4</v>
      </c>
      <c r="N14" s="191" t="s">
        <v>246</v>
      </c>
      <c r="O14" s="142" t="s">
        <v>248</v>
      </c>
      <c r="P14" s="193"/>
    </row>
    <row r="15" spans="1:23" ht="12.75" customHeight="1" x14ac:dyDescent="0.2">
      <c r="A15" s="225" t="s">
        <v>351</v>
      </c>
      <c r="B15" s="186"/>
      <c r="C15" s="186"/>
      <c r="D15" s="187" t="s">
        <v>401</v>
      </c>
      <c r="E15" s="187"/>
      <c r="F15" s="188" t="s">
        <v>143</v>
      </c>
      <c r="G15" s="189" t="s">
        <v>82</v>
      </c>
      <c r="H15" s="219"/>
      <c r="I15" s="190">
        <v>0</v>
      </c>
      <c r="J15" s="191">
        <v>0</v>
      </c>
      <c r="K15" s="191">
        <v>255</v>
      </c>
      <c r="L15" s="191">
        <v>1</v>
      </c>
      <c r="M15" s="192">
        <v>0</v>
      </c>
      <c r="N15" s="191" t="s">
        <v>241</v>
      </c>
      <c r="O15" s="142" t="s">
        <v>251</v>
      </c>
      <c r="P15" s="193"/>
    </row>
    <row r="16" spans="1:23" ht="12.75" customHeight="1" x14ac:dyDescent="0.2">
      <c r="A16" s="225" t="s">
        <v>352</v>
      </c>
      <c r="B16" s="186"/>
      <c r="C16" s="186"/>
      <c r="D16" s="187" t="s">
        <v>401</v>
      </c>
      <c r="E16" s="187"/>
      <c r="F16" s="188" t="s">
        <v>143</v>
      </c>
      <c r="G16" s="189" t="s">
        <v>82</v>
      </c>
      <c r="H16" s="219"/>
      <c r="I16" s="190">
        <v>0</v>
      </c>
      <c r="J16" s="191">
        <v>0</v>
      </c>
      <c r="K16" s="191">
        <v>1000</v>
      </c>
      <c r="L16" s="191">
        <v>1</v>
      </c>
      <c r="M16" s="192">
        <v>0</v>
      </c>
      <c r="N16" s="191" t="s">
        <v>241</v>
      </c>
      <c r="O16" s="142" t="s">
        <v>251</v>
      </c>
      <c r="P16" s="193"/>
    </row>
    <row r="17" spans="1:16" ht="12.75" customHeight="1" x14ac:dyDescent="0.2">
      <c r="A17" s="225" t="s">
        <v>353</v>
      </c>
      <c r="B17" s="186"/>
      <c r="C17" s="186"/>
      <c r="D17" s="187" t="s">
        <v>401</v>
      </c>
      <c r="E17" s="187"/>
      <c r="F17" s="188" t="s">
        <v>143</v>
      </c>
      <c r="G17" s="189" t="s">
        <v>82</v>
      </c>
      <c r="H17" s="219"/>
      <c r="I17" s="190">
        <v>0</v>
      </c>
      <c r="J17" s="191">
        <v>0</v>
      </c>
      <c r="K17" s="371">
        <v>100</v>
      </c>
      <c r="L17" s="191">
        <v>1</v>
      </c>
      <c r="M17" s="192">
        <v>0</v>
      </c>
      <c r="N17" s="191" t="s">
        <v>241</v>
      </c>
      <c r="O17" s="142" t="s">
        <v>251</v>
      </c>
      <c r="P17" s="193"/>
    </row>
    <row r="18" spans="1:16" ht="12.75" customHeight="1" x14ac:dyDescent="0.2">
      <c r="A18" s="225" t="s">
        <v>354</v>
      </c>
      <c r="B18" s="186"/>
      <c r="C18" s="186"/>
      <c r="D18" s="187" t="s">
        <v>401</v>
      </c>
      <c r="E18" s="187"/>
      <c r="F18" s="188" t="s">
        <v>143</v>
      </c>
      <c r="G18" s="189" t="s">
        <v>82</v>
      </c>
      <c r="H18" s="219"/>
      <c r="I18" s="190">
        <v>0</v>
      </c>
      <c r="J18" s="191">
        <v>0</v>
      </c>
      <c r="K18" s="371">
        <v>255</v>
      </c>
      <c r="L18" s="191">
        <v>1</v>
      </c>
      <c r="M18" s="192">
        <v>0</v>
      </c>
      <c r="N18" s="191" t="s">
        <v>241</v>
      </c>
      <c r="O18" s="142" t="s">
        <v>251</v>
      </c>
      <c r="P18" s="193"/>
    </row>
    <row r="19" spans="1:16" ht="12.75" customHeight="1" x14ac:dyDescent="0.2">
      <c r="A19" s="225" t="s">
        <v>355</v>
      </c>
      <c r="B19" s="186"/>
      <c r="C19" s="186"/>
      <c r="D19" s="187" t="s">
        <v>401</v>
      </c>
      <c r="E19" s="187"/>
      <c r="F19" s="188" t="s">
        <v>143</v>
      </c>
      <c r="G19" s="189" t="s">
        <v>82</v>
      </c>
      <c r="H19" s="219"/>
      <c r="I19" s="190">
        <v>0</v>
      </c>
      <c r="J19" s="191">
        <v>0</v>
      </c>
      <c r="K19" s="191">
        <v>255</v>
      </c>
      <c r="L19" s="191">
        <v>1</v>
      </c>
      <c r="M19" s="192">
        <v>0</v>
      </c>
      <c r="N19" s="191" t="s">
        <v>241</v>
      </c>
      <c r="O19" s="142" t="s">
        <v>251</v>
      </c>
      <c r="P19" s="193"/>
    </row>
    <row r="20" spans="1:16" ht="12.75" customHeight="1" x14ac:dyDescent="0.2">
      <c r="A20" s="225" t="s">
        <v>356</v>
      </c>
      <c r="B20" s="186"/>
      <c r="C20" s="186"/>
      <c r="D20" s="187" t="s">
        <v>401</v>
      </c>
      <c r="E20" s="187"/>
      <c r="F20" s="188" t="s">
        <v>143</v>
      </c>
      <c r="G20" s="189" t="s">
        <v>82</v>
      </c>
      <c r="H20" s="219"/>
      <c r="I20" s="190">
        <v>0</v>
      </c>
      <c r="J20" s="191">
        <v>0</v>
      </c>
      <c r="K20" s="191">
        <v>1000</v>
      </c>
      <c r="L20" s="191">
        <v>1</v>
      </c>
      <c r="M20" s="192">
        <v>0</v>
      </c>
      <c r="N20" s="191" t="s">
        <v>241</v>
      </c>
      <c r="O20" s="142" t="s">
        <v>251</v>
      </c>
      <c r="P20" s="193"/>
    </row>
    <row r="21" spans="1:16" ht="12.75" customHeight="1" x14ac:dyDescent="0.2">
      <c r="A21" s="225" t="s">
        <v>357</v>
      </c>
      <c r="B21" s="186"/>
      <c r="C21" s="186"/>
      <c r="D21" s="187" t="s">
        <v>401</v>
      </c>
      <c r="E21" s="187"/>
      <c r="F21" s="188" t="s">
        <v>143</v>
      </c>
      <c r="G21" s="189" t="s">
        <v>82</v>
      </c>
      <c r="H21" s="219"/>
      <c r="I21" s="190">
        <v>0</v>
      </c>
      <c r="J21" s="191">
        <v>0</v>
      </c>
      <c r="K21" s="191">
        <v>65535</v>
      </c>
      <c r="L21" s="191">
        <v>1</v>
      </c>
      <c r="M21" s="192">
        <v>0</v>
      </c>
      <c r="N21" s="191" t="s">
        <v>241</v>
      </c>
      <c r="O21" s="142" t="s">
        <v>251</v>
      </c>
      <c r="P21" s="193"/>
    </row>
    <row r="22" spans="1:16" ht="12.75" customHeight="1" x14ac:dyDescent="0.2">
      <c r="A22" s="225" t="s">
        <v>358</v>
      </c>
      <c r="B22" s="186"/>
      <c r="C22" s="186"/>
      <c r="D22" s="187" t="s">
        <v>401</v>
      </c>
      <c r="E22" s="187"/>
      <c r="F22" s="188" t="s">
        <v>143</v>
      </c>
      <c r="G22" s="189" t="s">
        <v>82</v>
      </c>
      <c r="H22" s="219"/>
      <c r="I22" s="190">
        <v>0</v>
      </c>
      <c r="J22" s="191">
        <v>0</v>
      </c>
      <c r="K22" s="191">
        <v>65535</v>
      </c>
      <c r="L22" s="191">
        <v>1</v>
      </c>
      <c r="M22" s="192">
        <v>0</v>
      </c>
      <c r="N22" s="191" t="s">
        <v>241</v>
      </c>
      <c r="O22" s="142" t="s">
        <v>251</v>
      </c>
      <c r="P22" s="193"/>
    </row>
    <row r="23" spans="1:16" ht="12.75" customHeight="1" x14ac:dyDescent="0.2">
      <c r="A23" s="225" t="s">
        <v>359</v>
      </c>
      <c r="B23" s="186"/>
      <c r="C23" s="186"/>
      <c r="D23" s="187" t="s">
        <v>401</v>
      </c>
      <c r="E23" s="187"/>
      <c r="F23" s="188" t="s">
        <v>143</v>
      </c>
      <c r="G23" s="189" t="s">
        <v>82</v>
      </c>
      <c r="H23" s="219"/>
      <c r="I23" s="190">
        <v>0</v>
      </c>
      <c r="J23" s="191">
        <v>0</v>
      </c>
      <c r="K23" s="191">
        <v>4095</v>
      </c>
      <c r="L23" s="191">
        <v>1</v>
      </c>
      <c r="M23" s="192">
        <v>0</v>
      </c>
      <c r="N23" s="191" t="s">
        <v>241</v>
      </c>
      <c r="O23" s="142" t="s">
        <v>251</v>
      </c>
      <c r="P23" s="193"/>
    </row>
    <row r="24" spans="1:16" ht="12.75" customHeight="1" x14ac:dyDescent="0.2">
      <c r="A24" s="225" t="s">
        <v>360</v>
      </c>
      <c r="B24" s="186"/>
      <c r="C24" s="186"/>
      <c r="D24" s="187" t="s">
        <v>401</v>
      </c>
      <c r="E24" s="187"/>
      <c r="F24" s="188" t="s">
        <v>143</v>
      </c>
      <c r="G24" s="189" t="s">
        <v>82</v>
      </c>
      <c r="H24" s="219"/>
      <c r="I24" s="190">
        <v>0</v>
      </c>
      <c r="J24" s="191">
        <v>0</v>
      </c>
      <c r="K24" s="191">
        <v>4095</v>
      </c>
      <c r="L24" s="191">
        <v>1</v>
      </c>
      <c r="M24" s="192">
        <v>0</v>
      </c>
      <c r="N24" s="191" t="s">
        <v>241</v>
      </c>
      <c r="O24" s="142" t="s">
        <v>251</v>
      </c>
      <c r="P24" s="193"/>
    </row>
    <row r="25" spans="1:16" ht="12.75" customHeight="1" x14ac:dyDescent="0.2">
      <c r="A25" s="225" t="s">
        <v>361</v>
      </c>
      <c r="B25" s="186"/>
      <c r="C25" s="186"/>
      <c r="D25" s="187" t="s">
        <v>401</v>
      </c>
      <c r="E25" s="187"/>
      <c r="F25" s="188" t="s">
        <v>143</v>
      </c>
      <c r="G25" s="189" t="s">
        <v>82</v>
      </c>
      <c r="H25" s="219"/>
      <c r="I25" s="190">
        <v>0</v>
      </c>
      <c r="J25" s="191">
        <v>0</v>
      </c>
      <c r="K25" s="191">
        <v>4</v>
      </c>
      <c r="L25" s="191">
        <v>1</v>
      </c>
      <c r="M25" s="192">
        <v>0</v>
      </c>
      <c r="N25" s="191" t="s">
        <v>241</v>
      </c>
      <c r="O25" s="142" t="s">
        <v>331</v>
      </c>
      <c r="P25" s="193"/>
    </row>
    <row r="26" spans="1:16" ht="12.75" customHeight="1" x14ac:dyDescent="0.2">
      <c r="A26" s="225" t="s">
        <v>362</v>
      </c>
      <c r="B26" s="186"/>
      <c r="C26" s="186"/>
      <c r="D26" s="187" t="s">
        <v>401</v>
      </c>
      <c r="E26" s="187"/>
      <c r="F26" s="188" t="s">
        <v>143</v>
      </c>
      <c r="G26" s="189" t="s">
        <v>82</v>
      </c>
      <c r="H26" s="219"/>
      <c r="I26" s="190">
        <v>0</v>
      </c>
      <c r="J26" s="191">
        <v>0</v>
      </c>
      <c r="K26" s="191">
        <v>31</v>
      </c>
      <c r="L26" s="191">
        <v>1</v>
      </c>
      <c r="M26" s="192">
        <v>0</v>
      </c>
      <c r="N26" s="191" t="s">
        <v>241</v>
      </c>
      <c r="O26" s="142" t="s">
        <v>331</v>
      </c>
      <c r="P26" s="193"/>
    </row>
    <row r="27" spans="1:16" ht="12.75" customHeight="1" x14ac:dyDescent="0.2">
      <c r="A27" s="254" t="s">
        <v>427</v>
      </c>
      <c r="B27" s="255"/>
      <c r="C27" s="255"/>
      <c r="D27" s="256" t="s">
        <v>401</v>
      </c>
      <c r="E27" s="256"/>
      <c r="F27" s="257" t="s">
        <v>143</v>
      </c>
      <c r="G27" s="258" t="s">
        <v>82</v>
      </c>
      <c r="H27" s="259"/>
      <c r="I27" s="260">
        <v>0</v>
      </c>
      <c r="J27" s="261">
        <v>-5</v>
      </c>
      <c r="K27" s="261">
        <v>5</v>
      </c>
      <c r="L27" s="261">
        <v>1</v>
      </c>
      <c r="M27" s="262">
        <v>0</v>
      </c>
      <c r="N27" s="261" t="s">
        <v>241</v>
      </c>
      <c r="O27" s="263" t="s">
        <v>429</v>
      </c>
      <c r="P27" s="193"/>
    </row>
    <row r="28" spans="1:16" ht="12.75" customHeight="1" x14ac:dyDescent="0.2">
      <c r="A28" s="254" t="s">
        <v>428</v>
      </c>
      <c r="B28" s="255"/>
      <c r="C28" s="255"/>
      <c r="D28" s="256" t="s">
        <v>401</v>
      </c>
      <c r="E28" s="256"/>
      <c r="F28" s="257" t="s">
        <v>143</v>
      </c>
      <c r="G28" s="258" t="s">
        <v>82</v>
      </c>
      <c r="H28" s="259"/>
      <c r="I28" s="260">
        <v>0</v>
      </c>
      <c r="J28" s="261">
        <v>-11</v>
      </c>
      <c r="K28" s="261">
        <v>11</v>
      </c>
      <c r="L28" s="261">
        <v>1</v>
      </c>
      <c r="M28" s="262">
        <v>0</v>
      </c>
      <c r="N28" s="261" t="s">
        <v>241</v>
      </c>
      <c r="O28" s="263" t="s">
        <v>429</v>
      </c>
      <c r="P28" s="193"/>
    </row>
    <row r="29" spans="1:16" ht="12.75" customHeight="1" x14ac:dyDescent="0.2">
      <c r="A29" s="225" t="s">
        <v>363</v>
      </c>
      <c r="B29" s="186"/>
      <c r="C29" s="186"/>
      <c r="D29" s="187" t="s">
        <v>401</v>
      </c>
      <c r="E29" s="187"/>
      <c r="F29" s="188" t="s">
        <v>143</v>
      </c>
      <c r="G29" s="189" t="s">
        <v>82</v>
      </c>
      <c r="H29" s="219"/>
      <c r="I29" s="190">
        <v>0</v>
      </c>
      <c r="J29" s="191">
        <v>0</v>
      </c>
      <c r="K29" s="191">
        <v>4</v>
      </c>
      <c r="L29" s="191">
        <v>1</v>
      </c>
      <c r="M29" s="192">
        <v>0</v>
      </c>
      <c r="N29" s="191" t="s">
        <v>241</v>
      </c>
      <c r="O29" s="142" t="s">
        <v>331</v>
      </c>
      <c r="P29" s="193"/>
    </row>
    <row r="30" spans="1:16" ht="12.75" customHeight="1" x14ac:dyDescent="0.2">
      <c r="A30" s="225" t="s">
        <v>364</v>
      </c>
      <c r="B30" s="186"/>
      <c r="C30" s="186"/>
      <c r="D30" s="187" t="s">
        <v>401</v>
      </c>
      <c r="E30" s="187"/>
      <c r="F30" s="188" t="s">
        <v>143</v>
      </c>
      <c r="G30" s="189" t="s">
        <v>82</v>
      </c>
      <c r="H30" s="219"/>
      <c r="I30" s="190">
        <v>0</v>
      </c>
      <c r="J30" s="191">
        <v>0</v>
      </c>
      <c r="K30" s="371">
        <v>22</v>
      </c>
      <c r="L30" s="191">
        <v>1</v>
      </c>
      <c r="M30" s="192">
        <v>0</v>
      </c>
      <c r="N30" s="191" t="s">
        <v>241</v>
      </c>
      <c r="O30" s="142" t="s">
        <v>331</v>
      </c>
      <c r="P30" s="193"/>
    </row>
    <row r="31" spans="1:16" ht="12.75" customHeight="1" x14ac:dyDescent="0.2">
      <c r="A31" s="225" t="s">
        <v>365</v>
      </c>
      <c r="B31" s="186"/>
      <c r="C31" s="186"/>
      <c r="D31" s="187" t="s">
        <v>401</v>
      </c>
      <c r="E31" s="187"/>
      <c r="F31" s="188" t="s">
        <v>143</v>
      </c>
      <c r="G31" s="189" t="s">
        <v>82</v>
      </c>
      <c r="H31" s="219"/>
      <c r="I31" s="190" t="b">
        <v>0</v>
      </c>
      <c r="J31" s="191" t="b">
        <v>0</v>
      </c>
      <c r="K31" s="191" t="b">
        <v>1</v>
      </c>
      <c r="L31" s="191" t="s">
        <v>333</v>
      </c>
      <c r="M31" s="192" t="s">
        <v>333</v>
      </c>
      <c r="N31" s="191" t="s">
        <v>241</v>
      </c>
      <c r="O31" s="142" t="s">
        <v>242</v>
      </c>
      <c r="P31" s="193"/>
    </row>
    <row r="32" spans="1:16" ht="12.75" customHeight="1" x14ac:dyDescent="0.2">
      <c r="A32" s="225" t="s">
        <v>366</v>
      </c>
      <c r="B32" s="186"/>
      <c r="C32" s="186"/>
      <c r="D32" s="187" t="s">
        <v>401</v>
      </c>
      <c r="E32" s="187"/>
      <c r="F32" s="188" t="s">
        <v>143</v>
      </c>
      <c r="G32" s="189" t="s">
        <v>82</v>
      </c>
      <c r="H32" s="219"/>
      <c r="I32" s="190" t="b">
        <v>0</v>
      </c>
      <c r="J32" s="191" t="b">
        <v>0</v>
      </c>
      <c r="K32" s="191" t="b">
        <v>1</v>
      </c>
      <c r="L32" s="191" t="s">
        <v>333</v>
      </c>
      <c r="M32" s="192" t="s">
        <v>333</v>
      </c>
      <c r="N32" s="191" t="s">
        <v>241</v>
      </c>
      <c r="O32" s="142" t="s">
        <v>242</v>
      </c>
      <c r="P32" s="193"/>
    </row>
    <row r="33" spans="1:16" ht="12.75" customHeight="1" x14ac:dyDescent="0.2">
      <c r="A33" s="225" t="s">
        <v>367</v>
      </c>
      <c r="B33" s="186"/>
      <c r="C33" s="186"/>
      <c r="D33" s="187" t="s">
        <v>401</v>
      </c>
      <c r="E33" s="187"/>
      <c r="F33" s="188" t="s">
        <v>143</v>
      </c>
      <c r="G33" s="189" t="s">
        <v>82</v>
      </c>
      <c r="H33" s="219"/>
      <c r="I33" s="190" t="b">
        <v>0</v>
      </c>
      <c r="J33" s="191" t="b">
        <v>0</v>
      </c>
      <c r="K33" s="191" t="b">
        <v>1</v>
      </c>
      <c r="L33" s="191" t="s">
        <v>333</v>
      </c>
      <c r="M33" s="192" t="s">
        <v>333</v>
      </c>
      <c r="N33" s="191" t="s">
        <v>241</v>
      </c>
      <c r="O33" s="142" t="s">
        <v>242</v>
      </c>
      <c r="P33" s="193"/>
    </row>
    <row r="34" spans="1:16" ht="12.75" customHeight="1" x14ac:dyDescent="0.2">
      <c r="A34" s="225" t="s">
        <v>368</v>
      </c>
      <c r="B34" s="186"/>
      <c r="C34" s="186"/>
      <c r="D34" s="187" t="s">
        <v>401</v>
      </c>
      <c r="E34" s="187"/>
      <c r="F34" s="188" t="s">
        <v>143</v>
      </c>
      <c r="G34" s="189" t="s">
        <v>82</v>
      </c>
      <c r="H34" s="219"/>
      <c r="I34" s="190" t="b">
        <v>0</v>
      </c>
      <c r="J34" s="191" t="b">
        <v>0</v>
      </c>
      <c r="K34" s="191" t="b">
        <v>1</v>
      </c>
      <c r="L34" s="191" t="s">
        <v>333</v>
      </c>
      <c r="M34" s="192" t="s">
        <v>333</v>
      </c>
      <c r="N34" s="191" t="s">
        <v>241</v>
      </c>
      <c r="O34" s="142" t="s">
        <v>242</v>
      </c>
      <c r="P34" s="193"/>
    </row>
    <row r="35" spans="1:16" ht="12.75" customHeight="1" x14ac:dyDescent="0.2">
      <c r="A35" s="225" t="s">
        <v>369</v>
      </c>
      <c r="B35" s="186"/>
      <c r="C35" s="186"/>
      <c r="D35" s="187" t="s">
        <v>401</v>
      </c>
      <c r="E35" s="187"/>
      <c r="F35" s="188" t="s">
        <v>143</v>
      </c>
      <c r="G35" s="189" t="s">
        <v>82</v>
      </c>
      <c r="H35" s="219"/>
      <c r="I35" s="190" t="b">
        <v>0</v>
      </c>
      <c r="J35" s="191" t="b">
        <v>0</v>
      </c>
      <c r="K35" s="191" t="b">
        <v>1</v>
      </c>
      <c r="L35" s="191" t="s">
        <v>333</v>
      </c>
      <c r="M35" s="192" t="s">
        <v>333</v>
      </c>
      <c r="N35" s="191" t="s">
        <v>241</v>
      </c>
      <c r="O35" s="142" t="s">
        <v>242</v>
      </c>
      <c r="P35" s="193"/>
    </row>
    <row r="36" spans="1:16" ht="12.75" customHeight="1" x14ac:dyDescent="0.2">
      <c r="A36" s="225" t="s">
        <v>370</v>
      </c>
      <c r="B36" s="186"/>
      <c r="C36" s="186"/>
      <c r="D36" s="187" t="s">
        <v>401</v>
      </c>
      <c r="E36" s="187"/>
      <c r="F36" s="188" t="s">
        <v>143</v>
      </c>
      <c r="G36" s="189" t="s">
        <v>82</v>
      </c>
      <c r="H36" s="219"/>
      <c r="I36" s="190" t="b">
        <v>0</v>
      </c>
      <c r="J36" s="191" t="b">
        <v>0</v>
      </c>
      <c r="K36" s="191" t="b">
        <v>1</v>
      </c>
      <c r="L36" s="191" t="s">
        <v>333</v>
      </c>
      <c r="M36" s="192" t="s">
        <v>333</v>
      </c>
      <c r="N36" s="191" t="s">
        <v>241</v>
      </c>
      <c r="O36" s="142" t="s">
        <v>242</v>
      </c>
      <c r="P36" s="193"/>
    </row>
    <row r="37" spans="1:16" ht="12.75" customHeight="1" x14ac:dyDescent="0.2">
      <c r="A37" s="244" t="s">
        <v>407</v>
      </c>
      <c r="B37" s="239"/>
      <c r="C37" s="239"/>
      <c r="D37" s="245" t="s">
        <v>401</v>
      </c>
      <c r="E37" s="245"/>
      <c r="F37" s="246" t="s">
        <v>143</v>
      </c>
      <c r="G37" s="247" t="s">
        <v>82</v>
      </c>
      <c r="H37" s="248"/>
      <c r="I37" s="249" t="b">
        <v>0</v>
      </c>
      <c r="J37" s="250" t="b">
        <v>0</v>
      </c>
      <c r="K37" s="250" t="b">
        <v>1</v>
      </c>
      <c r="L37" s="250" t="s">
        <v>333</v>
      </c>
      <c r="M37" s="251" t="s">
        <v>333</v>
      </c>
      <c r="N37" s="250" t="s">
        <v>241</v>
      </c>
      <c r="O37" s="252" t="s">
        <v>242</v>
      </c>
      <c r="P37" s="193"/>
    </row>
    <row r="38" spans="1:16" ht="12.75" customHeight="1" x14ac:dyDescent="0.2">
      <c r="A38" s="244" t="s">
        <v>408</v>
      </c>
      <c r="B38" s="239"/>
      <c r="C38" s="239"/>
      <c r="D38" s="245" t="s">
        <v>401</v>
      </c>
      <c r="E38" s="245"/>
      <c r="F38" s="246" t="s">
        <v>143</v>
      </c>
      <c r="G38" s="247" t="s">
        <v>82</v>
      </c>
      <c r="H38" s="248"/>
      <c r="I38" s="249" t="b">
        <v>0</v>
      </c>
      <c r="J38" s="250" t="b">
        <v>0</v>
      </c>
      <c r="K38" s="250" t="b">
        <v>1</v>
      </c>
      <c r="L38" s="250" t="s">
        <v>333</v>
      </c>
      <c r="M38" s="251" t="s">
        <v>333</v>
      </c>
      <c r="N38" s="250" t="s">
        <v>241</v>
      </c>
      <c r="O38" s="252" t="s">
        <v>242</v>
      </c>
      <c r="P38" s="193"/>
    </row>
    <row r="39" spans="1:16" ht="12.75" customHeight="1" x14ac:dyDescent="0.2">
      <c r="A39" s="225" t="s">
        <v>371</v>
      </c>
      <c r="B39" s="186"/>
      <c r="C39" s="186"/>
      <c r="D39" s="187" t="s">
        <v>401</v>
      </c>
      <c r="E39" s="187"/>
      <c r="F39" s="188" t="s">
        <v>143</v>
      </c>
      <c r="G39" s="189" t="s">
        <v>82</v>
      </c>
      <c r="H39" s="219"/>
      <c r="I39" s="190" t="b">
        <v>0</v>
      </c>
      <c r="J39" s="191" t="b">
        <v>0</v>
      </c>
      <c r="K39" s="191" t="b">
        <v>1</v>
      </c>
      <c r="L39" s="191" t="s">
        <v>333</v>
      </c>
      <c r="M39" s="192" t="s">
        <v>333</v>
      </c>
      <c r="N39" s="191" t="s">
        <v>241</v>
      </c>
      <c r="O39" s="142" t="s">
        <v>242</v>
      </c>
      <c r="P39" s="193"/>
    </row>
    <row r="40" spans="1:16" ht="12.75" customHeight="1" x14ac:dyDescent="0.2">
      <c r="A40" s="225" t="s">
        <v>372</v>
      </c>
      <c r="B40" s="186"/>
      <c r="C40" s="186"/>
      <c r="D40" s="187" t="s">
        <v>401</v>
      </c>
      <c r="E40" s="187"/>
      <c r="F40" s="188" t="s">
        <v>143</v>
      </c>
      <c r="G40" s="189" t="s">
        <v>82</v>
      </c>
      <c r="H40" s="219"/>
      <c r="I40" s="190" t="b">
        <v>0</v>
      </c>
      <c r="J40" s="191" t="b">
        <v>0</v>
      </c>
      <c r="K40" s="191" t="b">
        <v>1</v>
      </c>
      <c r="L40" s="191" t="s">
        <v>333</v>
      </c>
      <c r="M40" s="192" t="s">
        <v>333</v>
      </c>
      <c r="N40" s="191" t="s">
        <v>241</v>
      </c>
      <c r="O40" s="142" t="s">
        <v>242</v>
      </c>
      <c r="P40" s="193"/>
    </row>
    <row r="41" spans="1:16" ht="12.75" customHeight="1" x14ac:dyDescent="0.2">
      <c r="A41" s="225" t="s">
        <v>373</v>
      </c>
      <c r="B41" s="186"/>
      <c r="C41" s="186"/>
      <c r="D41" s="187" t="s">
        <v>401</v>
      </c>
      <c r="E41" s="187"/>
      <c r="F41" s="188" t="s">
        <v>143</v>
      </c>
      <c r="G41" s="189" t="s">
        <v>82</v>
      </c>
      <c r="H41" s="219"/>
      <c r="I41" s="190">
        <v>0</v>
      </c>
      <c r="J41" s="191" t="s">
        <v>333</v>
      </c>
      <c r="K41" s="191" t="s">
        <v>333</v>
      </c>
      <c r="L41" s="191" t="s">
        <v>333</v>
      </c>
      <c r="M41" s="192" t="s">
        <v>333</v>
      </c>
      <c r="N41" s="191" t="s">
        <v>241</v>
      </c>
      <c r="O41" s="142" t="s">
        <v>337</v>
      </c>
      <c r="P41" s="193"/>
    </row>
    <row r="42" spans="1:16" ht="12.75" customHeight="1" x14ac:dyDescent="0.2">
      <c r="A42" s="225" t="s">
        <v>374</v>
      </c>
      <c r="B42" s="186"/>
      <c r="C42" s="186"/>
      <c r="D42" s="187" t="s">
        <v>401</v>
      </c>
      <c r="E42" s="187"/>
      <c r="F42" s="188" t="s">
        <v>143</v>
      </c>
      <c r="G42" s="189" t="s">
        <v>82</v>
      </c>
      <c r="H42" s="219"/>
      <c r="I42" s="190">
        <v>0</v>
      </c>
      <c r="J42" s="191">
        <v>0</v>
      </c>
      <c r="K42" s="191">
        <v>1</v>
      </c>
      <c r="L42" s="191" t="s">
        <v>335</v>
      </c>
      <c r="M42" s="192">
        <v>4.8828125E-4</v>
      </c>
      <c r="N42" s="191" t="s">
        <v>334</v>
      </c>
      <c r="O42" s="142" t="s">
        <v>248</v>
      </c>
      <c r="P42" s="193"/>
    </row>
    <row r="43" spans="1:16" ht="12.75" customHeight="1" x14ac:dyDescent="0.2">
      <c r="A43" s="254" t="s">
        <v>375</v>
      </c>
      <c r="B43" s="255"/>
      <c r="C43" s="255"/>
      <c r="D43" s="256" t="s">
        <v>401</v>
      </c>
      <c r="E43" s="256"/>
      <c r="F43" s="257" t="s">
        <v>143</v>
      </c>
      <c r="G43" s="258" t="s">
        <v>82</v>
      </c>
      <c r="H43" s="259"/>
      <c r="I43" s="260">
        <v>0</v>
      </c>
      <c r="J43" s="261">
        <v>-1800</v>
      </c>
      <c r="K43" s="261">
        <v>2160</v>
      </c>
      <c r="L43" s="261" t="s">
        <v>335</v>
      </c>
      <c r="M43" s="262">
        <v>4.8828125E-4</v>
      </c>
      <c r="N43" s="261" t="s">
        <v>334</v>
      </c>
      <c r="O43" s="263" t="s">
        <v>248</v>
      </c>
      <c r="P43" s="193"/>
    </row>
    <row r="44" spans="1:16" ht="12.75" customHeight="1" x14ac:dyDescent="0.2">
      <c r="A44" s="225" t="s">
        <v>376</v>
      </c>
      <c r="B44" s="186"/>
      <c r="C44" s="186"/>
      <c r="D44" s="187" t="s">
        <v>401</v>
      </c>
      <c r="E44" s="187"/>
      <c r="F44" s="188" t="s">
        <v>143</v>
      </c>
      <c r="G44" s="189" t="s">
        <v>82</v>
      </c>
      <c r="H44" s="219"/>
      <c r="I44" s="190">
        <v>0</v>
      </c>
      <c r="J44" s="261" t="s">
        <v>333</v>
      </c>
      <c r="K44" s="261" t="s">
        <v>333</v>
      </c>
      <c r="L44" s="191" t="s">
        <v>333</v>
      </c>
      <c r="M44" s="192" t="s">
        <v>333</v>
      </c>
      <c r="N44" s="191" t="s">
        <v>241</v>
      </c>
      <c r="O44" s="142" t="s">
        <v>337</v>
      </c>
      <c r="P44" s="193"/>
    </row>
    <row r="45" spans="1:16" ht="12.75" customHeight="1" x14ac:dyDescent="0.2">
      <c r="A45" s="225" t="s">
        <v>377</v>
      </c>
      <c r="B45" s="186"/>
      <c r="C45" s="186"/>
      <c r="D45" s="187" t="s">
        <v>401</v>
      </c>
      <c r="E45" s="187"/>
      <c r="F45" s="188" t="s">
        <v>143</v>
      </c>
      <c r="G45" s="189" t="s">
        <v>82</v>
      </c>
      <c r="H45" s="219"/>
      <c r="I45" s="190">
        <v>0</v>
      </c>
      <c r="J45" s="261">
        <v>0</v>
      </c>
      <c r="K45" s="261">
        <v>1</v>
      </c>
      <c r="L45" s="191" t="s">
        <v>335</v>
      </c>
      <c r="M45" s="192">
        <v>4.8828125E-4</v>
      </c>
      <c r="N45" s="191" t="s">
        <v>334</v>
      </c>
      <c r="O45" s="142" t="s">
        <v>248</v>
      </c>
      <c r="P45" s="193"/>
    </row>
    <row r="46" spans="1:16" ht="12.75" customHeight="1" x14ac:dyDescent="0.2">
      <c r="A46" s="225" t="s">
        <v>378</v>
      </c>
      <c r="B46" s="186"/>
      <c r="C46" s="186"/>
      <c r="D46" s="187" t="s">
        <v>401</v>
      </c>
      <c r="E46" s="187"/>
      <c r="F46" s="188" t="s">
        <v>143</v>
      </c>
      <c r="G46" s="189" t="s">
        <v>82</v>
      </c>
      <c r="H46" s="219"/>
      <c r="I46" s="190">
        <v>0</v>
      </c>
      <c r="J46" s="261">
        <v>-3960</v>
      </c>
      <c r="K46" s="261">
        <v>4320</v>
      </c>
      <c r="L46" s="191" t="s">
        <v>335</v>
      </c>
      <c r="M46" s="192">
        <v>4.8828125E-4</v>
      </c>
      <c r="N46" s="191" t="s">
        <v>334</v>
      </c>
      <c r="O46" s="142" t="s">
        <v>248</v>
      </c>
      <c r="P46" s="193"/>
    </row>
    <row r="47" spans="1:16" ht="12.75" customHeight="1" x14ac:dyDescent="0.2">
      <c r="A47" s="225" t="s">
        <v>393</v>
      </c>
      <c r="B47" s="186"/>
      <c r="C47" s="186"/>
      <c r="D47" s="187" t="s">
        <v>401</v>
      </c>
      <c r="E47" s="187"/>
      <c r="F47" s="188" t="s">
        <v>82</v>
      </c>
      <c r="G47" s="189" t="s">
        <v>82</v>
      </c>
      <c r="H47" s="219"/>
      <c r="I47" s="190">
        <v>0</v>
      </c>
      <c r="J47" s="310">
        <v>-180</v>
      </c>
      <c r="K47" s="191">
        <v>360</v>
      </c>
      <c r="L47" s="191" t="s">
        <v>335</v>
      </c>
      <c r="M47" s="192">
        <v>4.8828125E-4</v>
      </c>
      <c r="N47" s="191" t="s">
        <v>246</v>
      </c>
      <c r="O47" s="142" t="s">
        <v>248</v>
      </c>
      <c r="P47" s="193"/>
    </row>
    <row r="48" spans="1:16" ht="12.75" customHeight="1" x14ac:dyDescent="0.2">
      <c r="A48" s="225" t="s">
        <v>394</v>
      </c>
      <c r="B48" s="186"/>
      <c r="C48" s="186"/>
      <c r="D48" s="187" t="s">
        <v>401</v>
      </c>
      <c r="E48" s="187"/>
      <c r="F48" s="188" t="s">
        <v>82</v>
      </c>
      <c r="G48" s="189" t="s">
        <v>82</v>
      </c>
      <c r="H48" s="219"/>
      <c r="I48" s="190">
        <v>0</v>
      </c>
      <c r="J48" s="310">
        <v>-180</v>
      </c>
      <c r="K48" s="191">
        <v>360</v>
      </c>
      <c r="L48" s="191" t="s">
        <v>335</v>
      </c>
      <c r="M48" s="192">
        <v>4.8828125E-4</v>
      </c>
      <c r="N48" s="191" t="s">
        <v>246</v>
      </c>
      <c r="O48" s="142" t="s">
        <v>248</v>
      </c>
      <c r="P48" s="193"/>
    </row>
    <row r="49" spans="1:18" ht="12.75" customHeight="1" x14ac:dyDescent="0.2">
      <c r="A49" s="226" t="s">
        <v>395</v>
      </c>
      <c r="B49" s="186"/>
      <c r="C49" s="186"/>
      <c r="D49" s="187" t="s">
        <v>401</v>
      </c>
      <c r="E49" s="187"/>
      <c r="F49" s="188" t="s">
        <v>82</v>
      </c>
      <c r="G49" s="189" t="s">
        <v>82</v>
      </c>
      <c r="H49" s="219"/>
      <c r="I49" s="190">
        <v>0</v>
      </c>
      <c r="J49" s="191">
        <v>0</v>
      </c>
      <c r="K49" s="191">
        <v>4488</v>
      </c>
      <c r="L49" s="191" t="s">
        <v>333</v>
      </c>
      <c r="M49" s="192" t="s">
        <v>333</v>
      </c>
      <c r="N49" s="191" t="s">
        <v>241</v>
      </c>
      <c r="O49" s="142" t="s">
        <v>251</v>
      </c>
      <c r="P49" s="193"/>
    </row>
    <row r="50" spans="1:18" ht="12.75" customHeight="1" x14ac:dyDescent="0.2">
      <c r="A50" s="226" t="s">
        <v>396</v>
      </c>
      <c r="B50" s="235"/>
      <c r="C50" s="235"/>
      <c r="D50" s="187" t="s">
        <v>401</v>
      </c>
      <c r="E50" s="187"/>
      <c r="F50" s="188" t="s">
        <v>82</v>
      </c>
      <c r="G50" s="188" t="s">
        <v>82</v>
      </c>
      <c r="H50" s="188"/>
      <c r="I50" s="236" t="s">
        <v>336</v>
      </c>
      <c r="J50" s="237" t="s">
        <v>336</v>
      </c>
      <c r="K50" s="237" t="s">
        <v>336</v>
      </c>
      <c r="L50" s="237">
        <v>1</v>
      </c>
      <c r="M50" s="238">
        <v>0</v>
      </c>
      <c r="N50" s="237" t="s">
        <v>241</v>
      </c>
      <c r="O50" s="142" t="s">
        <v>398</v>
      </c>
      <c r="P50" s="193"/>
    </row>
    <row r="51" spans="1:18" ht="12.75" customHeight="1" x14ac:dyDescent="0.2">
      <c r="A51" s="226" t="s">
        <v>397</v>
      </c>
      <c r="B51" s="235"/>
      <c r="C51" s="235"/>
      <c r="D51" s="187" t="s">
        <v>401</v>
      </c>
      <c r="E51" s="187"/>
      <c r="F51" s="188" t="s">
        <v>82</v>
      </c>
      <c r="G51" s="188" t="s">
        <v>82</v>
      </c>
      <c r="H51" s="188"/>
      <c r="I51" s="236" t="s">
        <v>336</v>
      </c>
      <c r="J51" s="237" t="s">
        <v>336</v>
      </c>
      <c r="K51" s="237" t="s">
        <v>336</v>
      </c>
      <c r="L51" s="237">
        <v>1</v>
      </c>
      <c r="M51" s="238">
        <v>0</v>
      </c>
      <c r="N51" s="237" t="s">
        <v>241</v>
      </c>
      <c r="O51" s="142" t="s">
        <v>398</v>
      </c>
      <c r="P51" s="193"/>
    </row>
    <row r="52" spans="1:18" ht="12.75" customHeight="1" x14ac:dyDescent="0.2">
      <c r="A52" s="226" t="s">
        <v>392</v>
      </c>
      <c r="B52" s="235"/>
      <c r="C52" s="235"/>
      <c r="D52" s="187" t="s">
        <v>401</v>
      </c>
      <c r="E52" s="187"/>
      <c r="F52" s="188" t="s">
        <v>82</v>
      </c>
      <c r="G52" s="188" t="s">
        <v>82</v>
      </c>
      <c r="H52" s="188"/>
      <c r="I52" s="236" t="s">
        <v>336</v>
      </c>
      <c r="J52" s="237" t="s">
        <v>336</v>
      </c>
      <c r="K52" s="237" t="s">
        <v>336</v>
      </c>
      <c r="L52" s="237">
        <v>1</v>
      </c>
      <c r="M52" s="238">
        <v>0</v>
      </c>
      <c r="N52" s="237" t="s">
        <v>241</v>
      </c>
      <c r="O52" s="142" t="s">
        <v>251</v>
      </c>
      <c r="P52" s="193"/>
    </row>
    <row r="53" spans="1:18" ht="12.75" customHeight="1" x14ac:dyDescent="0.2">
      <c r="A53" s="265" t="s">
        <v>410</v>
      </c>
      <c r="B53" s="266"/>
      <c r="C53" s="266"/>
      <c r="D53" s="256" t="s">
        <v>401</v>
      </c>
      <c r="E53" s="256"/>
      <c r="F53" s="257" t="s">
        <v>143</v>
      </c>
      <c r="G53" s="257" t="s">
        <v>82</v>
      </c>
      <c r="H53" s="257"/>
      <c r="I53" s="267">
        <v>0</v>
      </c>
      <c r="J53" s="310">
        <v>-360</v>
      </c>
      <c r="K53" s="268">
        <v>360</v>
      </c>
      <c r="L53" s="261" t="s">
        <v>335</v>
      </c>
      <c r="M53" s="262">
        <v>4.8828125E-4</v>
      </c>
      <c r="N53" s="261" t="s">
        <v>246</v>
      </c>
      <c r="O53" s="263" t="s">
        <v>248</v>
      </c>
      <c r="P53" s="193"/>
    </row>
    <row r="54" spans="1:18" ht="12.75" customHeight="1" x14ac:dyDescent="0.2">
      <c r="A54" s="265" t="s">
        <v>411</v>
      </c>
      <c r="B54" s="266"/>
      <c r="C54" s="266"/>
      <c r="D54" s="256" t="s">
        <v>401</v>
      </c>
      <c r="E54" s="256"/>
      <c r="F54" s="257" t="s">
        <v>143</v>
      </c>
      <c r="G54" s="257" t="s">
        <v>82</v>
      </c>
      <c r="H54" s="257"/>
      <c r="I54" s="267">
        <v>0</v>
      </c>
      <c r="J54" s="310">
        <v>-360</v>
      </c>
      <c r="K54" s="268">
        <v>360</v>
      </c>
      <c r="L54" s="261" t="s">
        <v>335</v>
      </c>
      <c r="M54" s="262">
        <v>4.8828125E-4</v>
      </c>
      <c r="N54" s="261" t="s">
        <v>246</v>
      </c>
      <c r="O54" s="263" t="s">
        <v>248</v>
      </c>
      <c r="P54" s="193"/>
    </row>
    <row r="55" spans="1:18" ht="12.75" customHeight="1" x14ac:dyDescent="0.2">
      <c r="A55" s="269" t="s">
        <v>415</v>
      </c>
      <c r="B55" s="266"/>
      <c r="C55" s="266"/>
      <c r="D55" s="256" t="s">
        <v>401</v>
      </c>
      <c r="E55" s="256"/>
      <c r="F55" s="257" t="s">
        <v>143</v>
      </c>
      <c r="G55" s="257" t="s">
        <v>82</v>
      </c>
      <c r="H55" s="257"/>
      <c r="I55" s="267">
        <v>0</v>
      </c>
      <c r="J55" s="261">
        <v>0</v>
      </c>
      <c r="K55" s="261">
        <v>4488</v>
      </c>
      <c r="L55" s="261" t="s">
        <v>333</v>
      </c>
      <c r="M55" s="262" t="s">
        <v>333</v>
      </c>
      <c r="N55" s="261" t="s">
        <v>241</v>
      </c>
      <c r="O55" s="263" t="s">
        <v>251</v>
      </c>
      <c r="P55" s="193"/>
    </row>
    <row r="56" spans="1:18" ht="12.75" customHeight="1" x14ac:dyDescent="0.2">
      <c r="A56" s="265" t="s">
        <v>430</v>
      </c>
      <c r="B56" s="243"/>
      <c r="C56" s="266"/>
      <c r="D56" s="256" t="s">
        <v>401</v>
      </c>
      <c r="E56" s="256"/>
      <c r="F56" s="257" t="s">
        <v>143</v>
      </c>
      <c r="G56" s="257" t="s">
        <v>82</v>
      </c>
      <c r="H56" s="257"/>
      <c r="I56" s="267">
        <v>0</v>
      </c>
      <c r="J56" s="268">
        <v>-1800</v>
      </c>
      <c r="K56" s="268">
        <v>1800</v>
      </c>
      <c r="L56" s="261" t="s">
        <v>335</v>
      </c>
      <c r="M56" s="262">
        <v>4.8828125E-4</v>
      </c>
      <c r="N56" s="268" t="s">
        <v>246</v>
      </c>
      <c r="O56" s="263" t="s">
        <v>248</v>
      </c>
      <c r="P56" s="193"/>
    </row>
    <row r="57" spans="1:18" ht="12.75" customHeight="1" x14ac:dyDescent="0.2">
      <c r="A57" s="265" t="s">
        <v>412</v>
      </c>
      <c r="B57" s="266"/>
      <c r="C57" s="266"/>
      <c r="D57" s="256" t="s">
        <v>401</v>
      </c>
      <c r="E57" s="256"/>
      <c r="F57" s="257" t="s">
        <v>145</v>
      </c>
      <c r="G57" s="257" t="s">
        <v>82</v>
      </c>
      <c r="H57" s="257"/>
      <c r="I57" s="267">
        <v>0</v>
      </c>
      <c r="J57" s="268">
        <v>-1800</v>
      </c>
      <c r="K57" s="268">
        <v>2160</v>
      </c>
      <c r="L57" s="261" t="s">
        <v>335</v>
      </c>
      <c r="M57" s="262">
        <v>4.8828125E-4</v>
      </c>
      <c r="N57" s="268" t="s">
        <v>246</v>
      </c>
      <c r="O57" s="263" t="s">
        <v>248</v>
      </c>
      <c r="P57" s="193"/>
    </row>
    <row r="58" spans="1:18" ht="12.75" customHeight="1" x14ac:dyDescent="0.2">
      <c r="A58" s="265" t="s">
        <v>413</v>
      </c>
      <c r="B58" s="266"/>
      <c r="C58" s="266"/>
      <c r="D58" s="256" t="s">
        <v>401</v>
      </c>
      <c r="E58" s="256"/>
      <c r="F58" s="257" t="s">
        <v>145</v>
      </c>
      <c r="G58" s="257" t="s">
        <v>82</v>
      </c>
      <c r="H58" s="257"/>
      <c r="I58" s="267">
        <v>0</v>
      </c>
      <c r="J58" s="268">
        <v>-3960</v>
      </c>
      <c r="K58" s="268">
        <v>4320</v>
      </c>
      <c r="L58" s="261" t="s">
        <v>335</v>
      </c>
      <c r="M58" s="262">
        <v>4.8828125E-4</v>
      </c>
      <c r="N58" s="268" t="s">
        <v>246</v>
      </c>
      <c r="O58" s="263" t="s">
        <v>248</v>
      </c>
      <c r="P58" s="193"/>
    </row>
    <row r="59" spans="1:18" ht="12.75" customHeight="1" x14ac:dyDescent="0.2">
      <c r="A59" s="265" t="s">
        <v>414</v>
      </c>
      <c r="B59" s="266"/>
      <c r="C59" s="266"/>
      <c r="D59" s="256" t="s">
        <v>401</v>
      </c>
      <c r="E59" s="256"/>
      <c r="F59" s="257" t="s">
        <v>145</v>
      </c>
      <c r="G59" s="257" t="s">
        <v>82</v>
      </c>
      <c r="H59" s="257"/>
      <c r="I59" s="267">
        <v>0</v>
      </c>
      <c r="J59" s="268">
        <v>-163.636</v>
      </c>
      <c r="K59" s="270">
        <v>360</v>
      </c>
      <c r="L59" s="261" t="s">
        <v>335</v>
      </c>
      <c r="M59" s="262">
        <v>4.8828125E-4</v>
      </c>
      <c r="N59" s="268" t="s">
        <v>246</v>
      </c>
      <c r="O59" s="263" t="s">
        <v>248</v>
      </c>
      <c r="P59" s="193"/>
    </row>
    <row r="60" spans="1:18" ht="12.75" customHeight="1" x14ac:dyDescent="0.2">
      <c r="A60" s="265" t="s">
        <v>426</v>
      </c>
      <c r="B60" s="266"/>
      <c r="C60" s="266"/>
      <c r="D60" s="256" t="s">
        <v>401</v>
      </c>
      <c r="E60" s="256"/>
      <c r="F60" s="257" t="s">
        <v>143</v>
      </c>
      <c r="G60" s="257" t="s">
        <v>82</v>
      </c>
      <c r="H60" s="257"/>
      <c r="I60" s="267" t="b">
        <v>0</v>
      </c>
      <c r="J60" s="268" t="b">
        <v>0</v>
      </c>
      <c r="K60" s="268" t="b">
        <v>1</v>
      </c>
      <c r="L60" s="261" t="s">
        <v>333</v>
      </c>
      <c r="M60" s="262" t="s">
        <v>333</v>
      </c>
      <c r="N60" s="261" t="s">
        <v>241</v>
      </c>
      <c r="O60" s="263" t="s">
        <v>242</v>
      </c>
      <c r="P60" s="193"/>
    </row>
    <row r="61" spans="1:18" ht="12.75" customHeight="1" x14ac:dyDescent="0.2">
      <c r="A61" s="226" t="s">
        <v>438</v>
      </c>
      <c r="B61" s="281"/>
      <c r="C61" s="282"/>
      <c r="D61" s="187" t="s">
        <v>401</v>
      </c>
      <c r="E61" s="187"/>
      <c r="F61" s="188" t="s">
        <v>143</v>
      </c>
      <c r="G61" s="188" t="s">
        <v>82</v>
      </c>
      <c r="H61" s="188"/>
      <c r="I61" s="236">
        <v>0</v>
      </c>
      <c r="J61" s="237">
        <v>0</v>
      </c>
      <c r="K61" s="237">
        <v>6</v>
      </c>
      <c r="L61" s="237">
        <v>1</v>
      </c>
      <c r="M61" s="238">
        <v>0</v>
      </c>
      <c r="N61" s="237" t="s">
        <v>334</v>
      </c>
      <c r="O61" s="263" t="s">
        <v>331</v>
      </c>
      <c r="P61" s="193"/>
    </row>
    <row r="62" spans="1:18" ht="12.75" customHeight="1" x14ac:dyDescent="0.2">
      <c r="A62" s="298" t="s">
        <v>444</v>
      </c>
      <c r="B62" s="299"/>
      <c r="C62" s="300"/>
      <c r="D62" s="301" t="s">
        <v>401</v>
      </c>
      <c r="E62" s="301"/>
      <c r="F62" s="302" t="s">
        <v>143</v>
      </c>
      <c r="G62" s="302" t="s">
        <v>82</v>
      </c>
      <c r="H62" s="302"/>
      <c r="I62" s="303">
        <v>0</v>
      </c>
      <c r="J62" s="304">
        <v>0</v>
      </c>
      <c r="K62" s="304">
        <v>1800</v>
      </c>
      <c r="L62" s="250" t="s">
        <v>335</v>
      </c>
      <c r="M62" s="251">
        <v>4.8828125E-4</v>
      </c>
      <c r="N62" s="250" t="s">
        <v>246</v>
      </c>
      <c r="O62" s="252" t="s">
        <v>248</v>
      </c>
      <c r="P62" s="193"/>
    </row>
    <row r="63" spans="1:18" s="317" customFormat="1" ht="14.25" customHeight="1" x14ac:dyDescent="0.2">
      <c r="A63" s="305" t="s">
        <v>460</v>
      </c>
      <c r="B63" s="306"/>
      <c r="C63" s="307" t="s">
        <v>401</v>
      </c>
      <c r="D63" s="308" t="s">
        <v>401</v>
      </c>
      <c r="E63" s="308"/>
      <c r="F63" s="309" t="s">
        <v>145</v>
      </c>
      <c r="G63" s="309" t="s">
        <v>82</v>
      </c>
      <c r="H63" s="309"/>
      <c r="I63" s="309">
        <v>0</v>
      </c>
      <c r="J63" s="310">
        <v>-1800</v>
      </c>
      <c r="K63" s="311">
        <v>1800</v>
      </c>
      <c r="L63" s="311" t="s">
        <v>335</v>
      </c>
      <c r="M63" s="312">
        <v>4.8799999999999999E-4</v>
      </c>
      <c r="N63" s="313" t="s">
        <v>246</v>
      </c>
      <c r="O63" s="314" t="s">
        <v>248</v>
      </c>
      <c r="P63" s="315"/>
      <c r="Q63" s="316"/>
      <c r="R63" s="316"/>
    </row>
    <row r="64" spans="1:18" s="317" customFormat="1" ht="12.75" customHeight="1" x14ac:dyDescent="0.2">
      <c r="A64" s="305" t="s">
        <v>461</v>
      </c>
      <c r="B64" s="306"/>
      <c r="C64" s="307" t="s">
        <v>401</v>
      </c>
      <c r="D64" s="308" t="s">
        <v>401</v>
      </c>
      <c r="E64" s="308"/>
      <c r="F64" s="309" t="s">
        <v>145</v>
      </c>
      <c r="G64" s="309" t="s">
        <v>82</v>
      </c>
      <c r="H64" s="309"/>
      <c r="I64" s="309">
        <v>0</v>
      </c>
      <c r="J64" s="310">
        <v>-1800</v>
      </c>
      <c r="K64" s="311">
        <v>1800</v>
      </c>
      <c r="L64" s="311" t="s">
        <v>335</v>
      </c>
      <c r="M64" s="312">
        <v>4.8799999999999999E-4</v>
      </c>
      <c r="N64" s="313" t="s">
        <v>246</v>
      </c>
      <c r="O64" s="314" t="s">
        <v>248</v>
      </c>
      <c r="P64" s="315"/>
      <c r="Q64" s="316"/>
      <c r="R64" s="316"/>
    </row>
    <row r="65" spans="1:18" s="317" customFormat="1" ht="12.75" customHeight="1" x14ac:dyDescent="0.2">
      <c r="A65" s="305" t="s">
        <v>462</v>
      </c>
      <c r="B65" s="306"/>
      <c r="C65" s="307" t="s">
        <v>401</v>
      </c>
      <c r="D65" s="308" t="s">
        <v>401</v>
      </c>
      <c r="E65" s="308"/>
      <c r="F65" s="309" t="s">
        <v>145</v>
      </c>
      <c r="G65" s="309" t="s">
        <v>82</v>
      </c>
      <c r="H65" s="309"/>
      <c r="I65" s="309">
        <v>0</v>
      </c>
      <c r="J65" s="310">
        <v>-1800</v>
      </c>
      <c r="K65" s="311">
        <v>1800</v>
      </c>
      <c r="L65" s="311" t="s">
        <v>335</v>
      </c>
      <c r="M65" s="312">
        <v>4.8799999999999999E-4</v>
      </c>
      <c r="N65" s="313" t="s">
        <v>246</v>
      </c>
      <c r="O65" s="314" t="s">
        <v>248</v>
      </c>
      <c r="P65" s="315"/>
      <c r="Q65" s="316"/>
      <c r="R65" s="316"/>
    </row>
    <row r="66" spans="1:18" ht="12.75" customHeight="1" x14ac:dyDescent="0.2">
      <c r="A66" s="240"/>
      <c r="B66" s="243"/>
      <c r="C66" s="241"/>
      <c r="D66" s="241"/>
      <c r="E66" s="241"/>
      <c r="F66" s="241"/>
      <c r="G66" s="241"/>
      <c r="H66" s="241"/>
      <c r="I66" s="241"/>
      <c r="J66" s="241"/>
      <c r="K66" s="241"/>
      <c r="L66" s="241"/>
      <c r="M66" s="241"/>
      <c r="N66" s="241"/>
      <c r="O66" s="242"/>
      <c r="P66" s="193"/>
    </row>
    <row r="67" spans="1:18" ht="20.25" customHeight="1" thickBot="1" x14ac:dyDescent="0.25">
      <c r="A67" s="332" t="s">
        <v>339</v>
      </c>
      <c r="B67" s="333"/>
      <c r="C67" s="333"/>
      <c r="D67" s="333"/>
      <c r="E67" s="333"/>
      <c r="F67" s="333"/>
      <c r="G67" s="333"/>
      <c r="H67" s="333"/>
      <c r="I67" s="333"/>
      <c r="J67" s="333"/>
      <c r="K67" s="333"/>
      <c r="L67" s="333"/>
      <c r="M67" s="333"/>
      <c r="N67" s="333"/>
      <c r="O67" s="334"/>
      <c r="P67" s="193"/>
    </row>
    <row r="68" spans="1:18" ht="12.75" customHeight="1" thickTop="1" x14ac:dyDescent="0.2">
      <c r="A68" s="185" t="s">
        <v>379</v>
      </c>
      <c r="B68" s="227"/>
      <c r="C68" s="227"/>
      <c r="D68" s="187" t="s">
        <v>401</v>
      </c>
      <c r="E68" s="228"/>
      <c r="F68" s="229" t="s">
        <v>143</v>
      </c>
      <c r="G68" s="189" t="s">
        <v>82</v>
      </c>
      <c r="H68" s="230"/>
      <c r="I68" s="231">
        <v>0</v>
      </c>
      <c r="J68" s="232">
        <v>0</v>
      </c>
      <c r="K68" s="232">
        <v>20</v>
      </c>
      <c r="L68" s="232">
        <v>1</v>
      </c>
      <c r="M68" s="233">
        <v>0</v>
      </c>
      <c r="N68" s="232" t="s">
        <v>241</v>
      </c>
      <c r="O68" s="234" t="s">
        <v>340</v>
      </c>
      <c r="P68" s="193"/>
    </row>
    <row r="69" spans="1:18" ht="12.75" customHeight="1" x14ac:dyDescent="0.2">
      <c r="A69" s="226" t="s">
        <v>380</v>
      </c>
      <c r="B69" s="186"/>
      <c r="C69" s="186"/>
      <c r="D69" s="187" t="s">
        <v>401</v>
      </c>
      <c r="E69" s="187"/>
      <c r="F69" s="188" t="s">
        <v>143</v>
      </c>
      <c r="G69" s="189" t="s">
        <v>82</v>
      </c>
      <c r="H69" s="219"/>
      <c r="I69" s="190">
        <v>0</v>
      </c>
      <c r="J69" s="191" t="s">
        <v>336</v>
      </c>
      <c r="K69" s="191" t="s">
        <v>336</v>
      </c>
      <c r="L69" s="191">
        <v>1</v>
      </c>
      <c r="M69" s="192">
        <v>0</v>
      </c>
      <c r="N69" s="191" t="s">
        <v>241</v>
      </c>
      <c r="O69" s="142" t="s">
        <v>251</v>
      </c>
      <c r="P69" s="193"/>
    </row>
    <row r="70" spans="1:18" ht="12.75" customHeight="1" x14ac:dyDescent="0.2">
      <c r="A70" s="226" t="s">
        <v>381</v>
      </c>
      <c r="B70" s="186"/>
      <c r="C70" s="186"/>
      <c r="D70" s="187" t="s">
        <v>401</v>
      </c>
      <c r="E70" s="187"/>
      <c r="F70" s="188" t="s">
        <v>143</v>
      </c>
      <c r="G70" s="189" t="s">
        <v>82</v>
      </c>
      <c r="H70" s="219"/>
      <c r="I70" s="190">
        <v>0</v>
      </c>
      <c r="J70" s="191" t="s">
        <v>336</v>
      </c>
      <c r="K70" s="191" t="s">
        <v>336</v>
      </c>
      <c r="L70" s="191">
        <v>1</v>
      </c>
      <c r="M70" s="192">
        <v>0</v>
      </c>
      <c r="N70" s="191" t="s">
        <v>241</v>
      </c>
      <c r="O70" s="142" t="s">
        <v>251</v>
      </c>
      <c r="P70" s="193"/>
    </row>
    <row r="71" spans="1:18" ht="12.75" customHeight="1" x14ac:dyDescent="0.2">
      <c r="A71" s="226" t="s">
        <v>382</v>
      </c>
      <c r="B71" s="186"/>
      <c r="C71" s="186"/>
      <c r="D71" s="187" t="s">
        <v>401</v>
      </c>
      <c r="E71" s="187"/>
      <c r="F71" s="188" t="s">
        <v>143</v>
      </c>
      <c r="G71" s="189" t="s">
        <v>82</v>
      </c>
      <c r="H71" s="219"/>
      <c r="I71" s="190">
        <v>0</v>
      </c>
      <c r="J71" s="191">
        <v>0</v>
      </c>
      <c r="K71" s="191">
        <v>127</v>
      </c>
      <c r="L71" s="191">
        <v>1</v>
      </c>
      <c r="M71" s="192">
        <v>0</v>
      </c>
      <c r="N71" s="191" t="s">
        <v>241</v>
      </c>
      <c r="O71" s="142" t="s">
        <v>331</v>
      </c>
      <c r="P71" s="193"/>
    </row>
    <row r="72" spans="1:18" ht="12.75" customHeight="1" x14ac:dyDescent="0.2">
      <c r="A72" s="226" t="s">
        <v>383</v>
      </c>
      <c r="B72" s="186"/>
      <c r="C72" s="186"/>
      <c r="D72" s="187" t="s">
        <v>401</v>
      </c>
      <c r="E72" s="187"/>
      <c r="F72" s="188" t="s">
        <v>143</v>
      </c>
      <c r="G72" s="189" t="s">
        <v>82</v>
      </c>
      <c r="H72" s="219"/>
      <c r="I72" s="190">
        <v>0</v>
      </c>
      <c r="J72" s="191">
        <v>0</v>
      </c>
      <c r="K72" s="191">
        <v>4</v>
      </c>
      <c r="L72" s="191">
        <v>1</v>
      </c>
      <c r="M72" s="192">
        <v>0</v>
      </c>
      <c r="N72" s="191" t="s">
        <v>241</v>
      </c>
      <c r="O72" s="142" t="s">
        <v>331</v>
      </c>
      <c r="P72" s="193"/>
    </row>
    <row r="73" spans="1:18" ht="12.75" customHeight="1" x14ac:dyDescent="0.2">
      <c r="A73" s="226" t="s">
        <v>384</v>
      </c>
      <c r="B73" s="186"/>
      <c r="C73" s="186"/>
      <c r="D73" s="187" t="s">
        <v>401</v>
      </c>
      <c r="E73" s="187"/>
      <c r="F73" s="188" t="s">
        <v>143</v>
      </c>
      <c r="G73" s="189" t="s">
        <v>82</v>
      </c>
      <c r="H73" s="219"/>
      <c r="I73" s="190" t="s">
        <v>341</v>
      </c>
      <c r="J73" s="191" t="s">
        <v>336</v>
      </c>
      <c r="K73" s="191" t="s">
        <v>336</v>
      </c>
      <c r="L73" s="191">
        <v>1</v>
      </c>
      <c r="M73" s="192">
        <v>0</v>
      </c>
      <c r="N73" s="191" t="s">
        <v>241</v>
      </c>
      <c r="O73" s="142" t="s">
        <v>331</v>
      </c>
      <c r="P73" s="193"/>
    </row>
    <row r="74" spans="1:18" ht="12.75" customHeight="1" x14ac:dyDescent="0.2">
      <c r="A74" s="226" t="s">
        <v>385</v>
      </c>
      <c r="B74" s="186"/>
      <c r="C74" s="186"/>
      <c r="D74" s="187" t="s">
        <v>401</v>
      </c>
      <c r="E74" s="187"/>
      <c r="F74" s="188" t="s">
        <v>143</v>
      </c>
      <c r="G74" s="189" t="s">
        <v>82</v>
      </c>
      <c r="H74" s="219"/>
      <c r="I74" s="190">
        <v>0</v>
      </c>
      <c r="J74" s="191">
        <v>0</v>
      </c>
      <c r="K74" s="191">
        <v>4</v>
      </c>
      <c r="L74" s="191">
        <v>1</v>
      </c>
      <c r="M74" s="192">
        <v>0</v>
      </c>
      <c r="N74" s="191" t="s">
        <v>241</v>
      </c>
      <c r="O74" s="142" t="s">
        <v>331</v>
      </c>
      <c r="P74" s="193"/>
    </row>
    <row r="75" spans="1:18" ht="12.75" customHeight="1" x14ac:dyDescent="0.2">
      <c r="A75" s="226" t="s">
        <v>386</v>
      </c>
      <c r="B75" s="186"/>
      <c r="C75" s="186"/>
      <c r="D75" s="187" t="s">
        <v>401</v>
      </c>
      <c r="E75" s="187"/>
      <c r="F75" s="188" t="s">
        <v>143</v>
      </c>
      <c r="G75" s="189" t="s">
        <v>82</v>
      </c>
      <c r="H75" s="219"/>
      <c r="I75" s="190">
        <v>0</v>
      </c>
      <c r="J75" s="191" t="s">
        <v>336</v>
      </c>
      <c r="K75" s="191" t="s">
        <v>336</v>
      </c>
      <c r="L75" s="191">
        <v>1</v>
      </c>
      <c r="M75" s="192">
        <v>0</v>
      </c>
      <c r="N75" s="191" t="s">
        <v>241</v>
      </c>
      <c r="O75" s="142" t="s">
        <v>331</v>
      </c>
      <c r="P75" s="193"/>
    </row>
    <row r="76" spans="1:18" ht="12.75" customHeight="1" x14ac:dyDescent="0.2">
      <c r="A76" s="226" t="s">
        <v>387</v>
      </c>
      <c r="B76" s="186"/>
      <c r="C76" s="186"/>
      <c r="D76" s="187" t="s">
        <v>401</v>
      </c>
      <c r="E76" s="187"/>
      <c r="F76" s="188" t="s">
        <v>143</v>
      </c>
      <c r="G76" s="189" t="s">
        <v>82</v>
      </c>
      <c r="H76" s="219"/>
      <c r="I76" s="190">
        <v>0</v>
      </c>
      <c r="J76" s="191" t="s">
        <v>336</v>
      </c>
      <c r="K76" s="191" t="s">
        <v>336</v>
      </c>
      <c r="L76" s="191">
        <v>1</v>
      </c>
      <c r="M76" s="192">
        <v>0</v>
      </c>
      <c r="N76" s="191" t="s">
        <v>241</v>
      </c>
      <c r="O76" s="142" t="s">
        <v>331</v>
      </c>
      <c r="P76" s="193"/>
    </row>
    <row r="77" spans="1:18" ht="12.75" customHeight="1" x14ac:dyDescent="0.2">
      <c r="A77" s="226" t="s">
        <v>388</v>
      </c>
      <c r="B77" s="186"/>
      <c r="C77" s="186"/>
      <c r="D77" s="187" t="s">
        <v>401</v>
      </c>
      <c r="E77" s="187"/>
      <c r="F77" s="188" t="s">
        <v>143</v>
      </c>
      <c r="G77" s="189" t="s">
        <v>82</v>
      </c>
      <c r="H77" s="219"/>
      <c r="I77" s="190" t="b">
        <v>0</v>
      </c>
      <c r="J77" s="191" t="b">
        <v>0</v>
      </c>
      <c r="K77" s="191" t="b">
        <v>1</v>
      </c>
      <c r="L77" s="191" t="s">
        <v>333</v>
      </c>
      <c r="M77" s="191" t="s">
        <v>333</v>
      </c>
      <c r="N77" s="191" t="s">
        <v>241</v>
      </c>
      <c r="O77" s="142" t="s">
        <v>242</v>
      </c>
      <c r="P77" s="193"/>
    </row>
    <row r="78" spans="1:18" ht="12.75" customHeight="1" x14ac:dyDescent="0.2">
      <c r="A78" s="226" t="s">
        <v>389</v>
      </c>
      <c r="B78" s="186"/>
      <c r="C78" s="186"/>
      <c r="D78" s="187" t="s">
        <v>401</v>
      </c>
      <c r="E78" s="187"/>
      <c r="F78" s="188" t="s">
        <v>143</v>
      </c>
      <c r="G78" s="189" t="s">
        <v>82</v>
      </c>
      <c r="H78" s="219"/>
      <c r="I78" s="190" t="b">
        <v>0</v>
      </c>
      <c r="J78" s="191" t="b">
        <v>0</v>
      </c>
      <c r="K78" s="191" t="b">
        <v>1</v>
      </c>
      <c r="L78" s="191" t="s">
        <v>333</v>
      </c>
      <c r="M78" s="191" t="s">
        <v>333</v>
      </c>
      <c r="N78" s="191" t="s">
        <v>241</v>
      </c>
      <c r="O78" s="142" t="s">
        <v>242</v>
      </c>
      <c r="P78" s="193"/>
    </row>
    <row r="79" spans="1:18" ht="12.75" customHeight="1" x14ac:dyDescent="0.2">
      <c r="A79" s="226" t="s">
        <v>390</v>
      </c>
      <c r="B79" s="186"/>
      <c r="C79" s="186"/>
      <c r="D79" s="187" t="s">
        <v>401</v>
      </c>
      <c r="E79" s="187"/>
      <c r="F79" s="188" t="s">
        <v>143</v>
      </c>
      <c r="G79" s="189" t="s">
        <v>82</v>
      </c>
      <c r="H79" s="219"/>
      <c r="I79" s="190" t="b">
        <v>0</v>
      </c>
      <c r="J79" s="191" t="b">
        <v>0</v>
      </c>
      <c r="K79" s="191" t="b">
        <v>1</v>
      </c>
      <c r="L79" s="191" t="s">
        <v>333</v>
      </c>
      <c r="M79" s="191" t="s">
        <v>333</v>
      </c>
      <c r="N79" s="191" t="s">
        <v>241</v>
      </c>
      <c r="O79" s="142" t="s">
        <v>242</v>
      </c>
      <c r="P79" s="193"/>
    </row>
    <row r="80" spans="1:18" ht="12.75" customHeight="1" x14ac:dyDescent="0.2">
      <c r="A80" s="226" t="s">
        <v>391</v>
      </c>
      <c r="B80" s="186"/>
      <c r="C80" s="186"/>
      <c r="D80" s="187" t="s">
        <v>401</v>
      </c>
      <c r="E80" s="187"/>
      <c r="F80" s="188" t="s">
        <v>143</v>
      </c>
      <c r="G80" s="189" t="s">
        <v>82</v>
      </c>
      <c r="H80" s="219"/>
      <c r="I80" s="190" t="b">
        <v>0</v>
      </c>
      <c r="J80" s="191" t="b">
        <v>0</v>
      </c>
      <c r="K80" s="191" t="b">
        <v>1</v>
      </c>
      <c r="L80" s="191" t="s">
        <v>333</v>
      </c>
      <c r="M80" s="191" t="s">
        <v>333</v>
      </c>
      <c r="N80" s="191" t="s">
        <v>241</v>
      </c>
      <c r="O80" s="142" t="s">
        <v>242</v>
      </c>
      <c r="P80" s="193"/>
    </row>
    <row r="81" spans="1:15" x14ac:dyDescent="0.2">
      <c r="A81" s="265" t="s">
        <v>416</v>
      </c>
      <c r="B81" s="266"/>
      <c r="C81" s="266"/>
      <c r="D81" s="256" t="s">
        <v>401</v>
      </c>
      <c r="E81" s="256"/>
      <c r="F81" s="257" t="s">
        <v>143</v>
      </c>
      <c r="G81" s="257" t="s">
        <v>82</v>
      </c>
      <c r="H81" s="257"/>
      <c r="I81" s="267">
        <v>0</v>
      </c>
      <c r="J81" s="268">
        <v>0</v>
      </c>
      <c r="K81" s="268" t="s">
        <v>336</v>
      </c>
      <c r="L81" s="268">
        <v>1</v>
      </c>
      <c r="M81" s="262">
        <v>0</v>
      </c>
      <c r="N81" s="268" t="s">
        <v>425</v>
      </c>
      <c r="O81" s="263" t="s">
        <v>398</v>
      </c>
    </row>
    <row r="82" spans="1:15" x14ac:dyDescent="0.2">
      <c r="A82" s="265" t="s">
        <v>417</v>
      </c>
      <c r="B82" s="266"/>
      <c r="C82" s="266"/>
      <c r="D82" s="256" t="s">
        <v>401</v>
      </c>
      <c r="E82" s="256"/>
      <c r="F82" s="257" t="s">
        <v>145</v>
      </c>
      <c r="G82" s="257" t="s">
        <v>82</v>
      </c>
      <c r="H82" s="257"/>
      <c r="I82" s="267">
        <v>0</v>
      </c>
      <c r="J82" s="268">
        <v>0</v>
      </c>
      <c r="K82" s="268" t="s">
        <v>336</v>
      </c>
      <c r="L82" s="268">
        <v>1</v>
      </c>
      <c r="M82" s="262">
        <v>0</v>
      </c>
      <c r="N82" s="261" t="s">
        <v>241</v>
      </c>
      <c r="O82" s="263" t="s">
        <v>251</v>
      </c>
    </row>
    <row r="83" spans="1:15" x14ac:dyDescent="0.2">
      <c r="A83" s="265" t="s">
        <v>418</v>
      </c>
      <c r="B83" s="266"/>
      <c r="C83" s="266"/>
      <c r="D83" s="256" t="s">
        <v>401</v>
      </c>
      <c r="E83" s="256"/>
      <c r="F83" s="257" t="s">
        <v>145</v>
      </c>
      <c r="G83" s="257" t="s">
        <v>82</v>
      </c>
      <c r="H83" s="257"/>
      <c r="I83" s="267">
        <v>0</v>
      </c>
      <c r="J83" s="268">
        <v>0</v>
      </c>
      <c r="K83" s="268" t="s">
        <v>336</v>
      </c>
      <c r="L83" s="268">
        <v>1</v>
      </c>
      <c r="M83" s="262">
        <v>0</v>
      </c>
      <c r="N83" s="261" t="s">
        <v>241</v>
      </c>
      <c r="O83" s="263" t="s">
        <v>251</v>
      </c>
    </row>
    <row r="84" spans="1:15" x14ac:dyDescent="0.2">
      <c r="A84" s="265" t="s">
        <v>419</v>
      </c>
      <c r="B84" s="266"/>
      <c r="C84" s="266"/>
      <c r="D84" s="256" t="s">
        <v>401</v>
      </c>
      <c r="E84" s="256"/>
      <c r="F84" s="257" t="s">
        <v>145</v>
      </c>
      <c r="G84" s="257" t="s">
        <v>82</v>
      </c>
      <c r="H84" s="257"/>
      <c r="I84" s="267">
        <v>0</v>
      </c>
      <c r="J84" s="268">
        <v>0</v>
      </c>
      <c r="K84" s="268" t="s">
        <v>336</v>
      </c>
      <c r="L84" s="268">
        <v>1</v>
      </c>
      <c r="M84" s="262">
        <v>0</v>
      </c>
      <c r="N84" s="261" t="s">
        <v>241</v>
      </c>
      <c r="O84" s="263" t="s">
        <v>251</v>
      </c>
    </row>
    <row r="85" spans="1:15" x14ac:dyDescent="0.2">
      <c r="A85" s="265" t="s">
        <v>420</v>
      </c>
      <c r="B85" s="266"/>
      <c r="C85" s="266"/>
      <c r="D85" s="256" t="s">
        <v>401</v>
      </c>
      <c r="E85" s="256"/>
      <c r="F85" s="257" t="s">
        <v>145</v>
      </c>
      <c r="G85" s="257" t="s">
        <v>82</v>
      </c>
      <c r="H85" s="257"/>
      <c r="I85" s="267">
        <v>0</v>
      </c>
      <c r="J85" s="268">
        <v>0</v>
      </c>
      <c r="K85" s="268" t="s">
        <v>336</v>
      </c>
      <c r="L85" s="268">
        <v>1</v>
      </c>
      <c r="M85" s="262">
        <v>0</v>
      </c>
      <c r="N85" s="261" t="s">
        <v>241</v>
      </c>
      <c r="O85" s="263" t="s">
        <v>251</v>
      </c>
    </row>
    <row r="86" spans="1:15" x14ac:dyDescent="0.2">
      <c r="A86" s="265" t="s">
        <v>421</v>
      </c>
      <c r="B86" s="266"/>
      <c r="C86" s="266"/>
      <c r="D86" s="256" t="s">
        <v>401</v>
      </c>
      <c r="E86" s="256"/>
      <c r="F86" s="257" t="s">
        <v>145</v>
      </c>
      <c r="G86" s="257" t="s">
        <v>82</v>
      </c>
      <c r="H86" s="257"/>
      <c r="I86" s="267">
        <v>0</v>
      </c>
      <c r="J86" s="268">
        <v>0</v>
      </c>
      <c r="K86" s="268" t="s">
        <v>336</v>
      </c>
      <c r="L86" s="268">
        <v>1</v>
      </c>
      <c r="M86" s="262">
        <v>0</v>
      </c>
      <c r="N86" s="261" t="s">
        <v>241</v>
      </c>
      <c r="O86" s="263" t="s">
        <v>251</v>
      </c>
    </row>
    <row r="87" spans="1:15" x14ac:dyDescent="0.2">
      <c r="A87" s="265" t="s">
        <v>422</v>
      </c>
      <c r="B87" s="266"/>
      <c r="C87" s="266"/>
      <c r="D87" s="256" t="s">
        <v>401</v>
      </c>
      <c r="E87" s="256"/>
      <c r="F87" s="257" t="s">
        <v>145</v>
      </c>
      <c r="G87" s="257" t="s">
        <v>82</v>
      </c>
      <c r="H87" s="257"/>
      <c r="I87" s="267">
        <v>0</v>
      </c>
      <c r="J87" s="268">
        <v>0</v>
      </c>
      <c r="K87" s="268" t="s">
        <v>336</v>
      </c>
      <c r="L87" s="268">
        <v>1</v>
      </c>
      <c r="M87" s="262">
        <v>0</v>
      </c>
      <c r="N87" s="261" t="s">
        <v>241</v>
      </c>
      <c r="O87" s="263" t="s">
        <v>251</v>
      </c>
    </row>
    <row r="88" spans="1:15" x14ac:dyDescent="0.2">
      <c r="A88" s="265" t="s">
        <v>423</v>
      </c>
      <c r="B88" s="266"/>
      <c r="C88" s="266"/>
      <c r="D88" s="256" t="s">
        <v>401</v>
      </c>
      <c r="E88" s="256"/>
      <c r="F88" s="257" t="s">
        <v>143</v>
      </c>
      <c r="G88" s="257" t="s">
        <v>82</v>
      </c>
      <c r="H88" s="257"/>
      <c r="I88" s="267" t="b">
        <v>0</v>
      </c>
      <c r="J88" s="267" t="b">
        <v>0</v>
      </c>
      <c r="K88" s="261" t="b">
        <v>1</v>
      </c>
      <c r="L88" s="261" t="s">
        <v>333</v>
      </c>
      <c r="M88" s="261" t="s">
        <v>333</v>
      </c>
      <c r="N88" s="261" t="s">
        <v>241</v>
      </c>
      <c r="O88" s="263" t="s">
        <v>242</v>
      </c>
    </row>
    <row r="89" spans="1:15" x14ac:dyDescent="0.2">
      <c r="A89" s="265" t="s">
        <v>424</v>
      </c>
      <c r="B89" s="266"/>
      <c r="C89" s="266"/>
      <c r="D89" s="256" t="s">
        <v>401</v>
      </c>
      <c r="E89" s="256"/>
      <c r="F89" s="257" t="s">
        <v>143</v>
      </c>
      <c r="G89" s="257" t="s">
        <v>82</v>
      </c>
      <c r="H89" s="257"/>
      <c r="I89" s="267" t="b">
        <v>0</v>
      </c>
      <c r="J89" s="267" t="b">
        <v>0</v>
      </c>
      <c r="K89" s="261" t="b">
        <v>1</v>
      </c>
      <c r="L89" s="261" t="s">
        <v>333</v>
      </c>
      <c r="M89" s="261" t="s">
        <v>333</v>
      </c>
      <c r="N89" s="261" t="s">
        <v>241</v>
      </c>
      <c r="O89" s="263" t="s">
        <v>242</v>
      </c>
    </row>
    <row r="90" spans="1:15" x14ac:dyDescent="0.2">
      <c r="A90" s="265" t="s">
        <v>432</v>
      </c>
      <c r="B90" s="283"/>
      <c r="C90" s="283"/>
      <c r="D90" s="256" t="s">
        <v>401</v>
      </c>
      <c r="E90" s="256"/>
      <c r="F90" s="257" t="s">
        <v>143</v>
      </c>
      <c r="G90" s="257" t="s">
        <v>82</v>
      </c>
      <c r="H90" s="257"/>
      <c r="I90" s="267">
        <v>0</v>
      </c>
      <c r="J90" s="267">
        <v>0</v>
      </c>
      <c r="K90" s="261">
        <v>511</v>
      </c>
      <c r="L90" s="261">
        <v>1</v>
      </c>
      <c r="M90" s="262">
        <v>0</v>
      </c>
      <c r="N90" s="261" t="s">
        <v>334</v>
      </c>
      <c r="O90" s="142" t="s">
        <v>251</v>
      </c>
    </row>
    <row r="91" spans="1:15" x14ac:dyDescent="0.2">
      <c r="A91" s="265" t="s">
        <v>433</v>
      </c>
      <c r="B91" s="281"/>
      <c r="C91" s="283"/>
      <c r="D91" s="256" t="s">
        <v>401</v>
      </c>
      <c r="E91" s="256"/>
      <c r="F91" s="257" t="s">
        <v>143</v>
      </c>
      <c r="G91" s="257" t="s">
        <v>82</v>
      </c>
      <c r="H91" s="257"/>
      <c r="I91" s="267">
        <v>0</v>
      </c>
      <c r="J91" s="268">
        <v>0</v>
      </c>
      <c r="K91" s="268">
        <v>255</v>
      </c>
      <c r="L91" s="268">
        <v>1</v>
      </c>
      <c r="M91" s="262">
        <v>0</v>
      </c>
      <c r="N91" s="261" t="s">
        <v>334</v>
      </c>
      <c r="O91" s="142" t="s">
        <v>251</v>
      </c>
    </row>
    <row r="92" spans="1:15" x14ac:dyDescent="0.2">
      <c r="A92" s="265" t="s">
        <v>434</v>
      </c>
      <c r="B92" s="281"/>
      <c r="C92" s="283"/>
      <c r="D92" s="256" t="s">
        <v>401</v>
      </c>
      <c r="E92" s="256"/>
      <c r="F92" s="257" t="s">
        <v>143</v>
      </c>
      <c r="G92" s="257" t="s">
        <v>82</v>
      </c>
      <c r="H92" s="257"/>
      <c r="I92" s="267">
        <v>0</v>
      </c>
      <c r="J92" s="267">
        <v>0</v>
      </c>
      <c r="K92" s="261">
        <v>11</v>
      </c>
      <c r="L92" s="261">
        <v>1</v>
      </c>
      <c r="M92" s="262">
        <v>0</v>
      </c>
      <c r="N92" s="261" t="s">
        <v>241</v>
      </c>
      <c r="O92" s="142" t="s">
        <v>331</v>
      </c>
    </row>
    <row r="93" spans="1:15" x14ac:dyDescent="0.2">
      <c r="A93" s="265" t="s">
        <v>435</v>
      </c>
      <c r="B93" s="281"/>
      <c r="C93" s="283"/>
      <c r="D93" s="256" t="s">
        <v>401</v>
      </c>
      <c r="E93" s="256"/>
      <c r="F93" s="257" t="s">
        <v>143</v>
      </c>
      <c r="G93" s="257" t="s">
        <v>82</v>
      </c>
      <c r="H93" s="257"/>
      <c r="I93" s="267" t="b">
        <v>0</v>
      </c>
      <c r="J93" s="267" t="b">
        <v>0</v>
      </c>
      <c r="K93" s="268" t="b">
        <v>1</v>
      </c>
      <c r="L93" s="268" t="s">
        <v>333</v>
      </c>
      <c r="M93" s="268" t="s">
        <v>333</v>
      </c>
      <c r="N93" s="261" t="s">
        <v>241</v>
      </c>
      <c r="O93" s="263" t="s">
        <v>242</v>
      </c>
    </row>
    <row r="94" spans="1:15" x14ac:dyDescent="0.2">
      <c r="A94" s="265" t="s">
        <v>436</v>
      </c>
      <c r="B94" s="281"/>
      <c r="C94" s="283"/>
      <c r="D94" s="256" t="s">
        <v>401</v>
      </c>
      <c r="E94" s="256"/>
      <c r="F94" s="257" t="s">
        <v>143</v>
      </c>
      <c r="G94" s="257" t="s">
        <v>82</v>
      </c>
      <c r="H94" s="257"/>
      <c r="I94" s="267" t="b">
        <v>0</v>
      </c>
      <c r="J94" s="267" t="b">
        <v>0</v>
      </c>
      <c r="K94" s="268" t="b">
        <v>1</v>
      </c>
      <c r="L94" s="268" t="s">
        <v>333</v>
      </c>
      <c r="M94" s="268" t="s">
        <v>333</v>
      </c>
      <c r="N94" s="261" t="s">
        <v>241</v>
      </c>
      <c r="O94" s="263" t="s">
        <v>242</v>
      </c>
    </row>
    <row r="95" spans="1:15" x14ac:dyDescent="0.2">
      <c r="A95" s="265" t="s">
        <v>437</v>
      </c>
      <c r="B95" s="281"/>
      <c r="C95" s="283"/>
      <c r="D95" s="256" t="s">
        <v>401</v>
      </c>
      <c r="E95" s="256"/>
      <c r="F95" s="257" t="s">
        <v>143</v>
      </c>
      <c r="G95" s="257" t="s">
        <v>82</v>
      </c>
      <c r="H95" s="257"/>
      <c r="I95" s="267" t="b">
        <v>0</v>
      </c>
      <c r="J95" s="267" t="b">
        <v>0</v>
      </c>
      <c r="K95" s="268" t="b">
        <v>1</v>
      </c>
      <c r="L95" s="268" t="s">
        <v>333</v>
      </c>
      <c r="M95" s="268" t="s">
        <v>333</v>
      </c>
      <c r="N95" s="261" t="s">
        <v>241</v>
      </c>
      <c r="O95" s="263" t="s">
        <v>242</v>
      </c>
    </row>
    <row r="96" spans="1:15" x14ac:dyDescent="0.2">
      <c r="A96" s="271"/>
      <c r="B96" s="277"/>
      <c r="C96" s="272"/>
      <c r="D96" s="273"/>
      <c r="E96" s="273"/>
      <c r="F96" s="274"/>
      <c r="G96" s="274"/>
      <c r="H96" s="274"/>
      <c r="I96" s="275"/>
      <c r="J96" s="278"/>
      <c r="K96" s="278"/>
      <c r="L96" s="278"/>
      <c r="M96" s="279"/>
      <c r="N96" s="264"/>
      <c r="O96" s="276"/>
    </row>
    <row r="97" spans="1:15" x14ac:dyDescent="0.2">
      <c r="A97" s="271"/>
      <c r="B97" s="277"/>
      <c r="C97" s="272"/>
      <c r="D97" s="273"/>
      <c r="E97" s="273"/>
      <c r="F97" s="274"/>
      <c r="G97" s="274"/>
      <c r="H97" s="274"/>
      <c r="I97" s="275"/>
      <c r="J97" s="275"/>
      <c r="K97" s="264"/>
      <c r="L97" s="264"/>
      <c r="M97" s="264"/>
      <c r="N97" s="264"/>
      <c r="O97" s="276"/>
    </row>
    <row r="98" spans="1:15" x14ac:dyDescent="0.2">
      <c r="A98" s="271"/>
      <c r="B98" s="277"/>
      <c r="C98" s="272"/>
      <c r="D98" s="273"/>
      <c r="E98" s="273"/>
      <c r="F98" s="274"/>
      <c r="G98" s="274"/>
      <c r="H98" s="274"/>
      <c r="I98" s="275"/>
      <c r="J98" s="275"/>
      <c r="K98" s="264"/>
      <c r="L98" s="264"/>
      <c r="M98" s="264"/>
      <c r="N98" s="264"/>
      <c r="O98" s="276"/>
    </row>
  </sheetData>
  <sheetProtection insertColumns="0" insertRows="0" insertHyperlinks="0" deleteColumns="0" deleteRows="0" sort="0" autoFilter="0" pivotTables="0"/>
  <mergeCells count="4">
    <mergeCell ref="J3:K3"/>
    <mergeCell ref="A1:P1"/>
    <mergeCell ref="A2:P2"/>
    <mergeCell ref="A67:O67"/>
  </mergeCells>
  <conditionalFormatting sqref="G68:G80 I68:I80 G3:I5 G99:I65594 G6:G8 I6:I8 I10:I62 J63:J65 G10:G62 H63:H65 G91:G95 I91:I98 J93:J95">
    <cfRule type="cellIs" dxfId="80" priority="152" stopIfTrue="1" operator="equal">
      <formula>"y"</formula>
    </cfRule>
    <cfRule type="cellIs" dxfId="79" priority="153" stopIfTrue="1" operator="equal">
      <formula>"Y"</formula>
    </cfRule>
  </conditionalFormatting>
  <conditionalFormatting sqref="P67:P80 I68:O81 C62:C65 B62:B66 I88 B88:C88 F88:G88 I82:I86 F68:G86 B68:C86 J82:O89 I6:P8 P9 J55:O55 I57:K58 B6:C8 B10:C54 F6:G8 F10:G54 B57:C61 I59:J59 I62:P62 J63:P65 G63:H65 I60:O61 F57:G62 J91:N92 B93:C95 I93:J95 J93:O98 I10:O54">
    <cfRule type="expression" dxfId="78" priority="151" stopIfTrue="1">
      <formula>IF($A6&lt;&gt;"",IF(B6="",TRUE,FALSE),FALSE)</formula>
    </cfRule>
  </conditionalFormatting>
  <conditionalFormatting sqref="M68:M80 M82:M89 M6:M8 M10:M55 M60:M62 M91:M98">
    <cfRule type="expression" dxfId="77" priority="150" stopIfTrue="1">
      <formula>IF($F6="I",TRUE,FALSE)</formula>
    </cfRule>
  </conditionalFormatting>
  <conditionalFormatting sqref="P54 I56 F56:G56 B56:C56 P58">
    <cfRule type="expression" dxfId="76" priority="164" stopIfTrue="1">
      <formula>IF(#REF!&lt;&gt;"",IF(B54="",TRUE,FALSE),FALSE)</formula>
    </cfRule>
  </conditionalFormatting>
  <conditionalFormatting sqref="G81:G89 I81:I89">
    <cfRule type="cellIs" dxfId="75" priority="140" stopIfTrue="1" operator="equal">
      <formula>"y"</formula>
    </cfRule>
    <cfRule type="cellIs" dxfId="74" priority="141" stopIfTrue="1" operator="equal">
      <formula>"Y"</formula>
    </cfRule>
  </conditionalFormatting>
  <conditionalFormatting sqref="M81">
    <cfRule type="expression" dxfId="73" priority="138" stopIfTrue="1">
      <formula>IF($F81="I",TRUE,FALSE)</formula>
    </cfRule>
  </conditionalFormatting>
  <conditionalFormatting sqref="P10 I55 F55:G55 B55:C55 J56:O56 L57:O58">
    <cfRule type="expression" dxfId="72" priority="166" stopIfTrue="1">
      <formula>IF($A11&lt;&gt;"",IF(B10="",TRUE,FALSE),FALSE)</formula>
    </cfRule>
  </conditionalFormatting>
  <conditionalFormatting sqref="M56:M58">
    <cfRule type="expression" dxfId="71" priority="170" stopIfTrue="1">
      <formula>IF($F57="I",TRUE,FALSE)</formula>
    </cfRule>
  </conditionalFormatting>
  <conditionalFormatting sqref="L59">
    <cfRule type="expression" dxfId="70" priority="113" stopIfTrue="1">
      <formula>IF(#REF!&lt;&gt;"",IF(L59="",TRUE,FALSE),FALSE)</formula>
    </cfRule>
  </conditionalFormatting>
  <conditionalFormatting sqref="M59">
    <cfRule type="expression" dxfId="69" priority="111" stopIfTrue="1">
      <formula>IF(#REF!&lt;&gt;"",IF(M59="",TRUE,FALSE),FALSE)</formula>
    </cfRule>
  </conditionalFormatting>
  <conditionalFormatting sqref="M59">
    <cfRule type="expression" dxfId="68" priority="112" stopIfTrue="1">
      <formula>IF(#REF!="I",TRUE,FALSE)</formula>
    </cfRule>
  </conditionalFormatting>
  <conditionalFormatting sqref="N59">
    <cfRule type="expression" dxfId="67" priority="110" stopIfTrue="1">
      <formula>IF(#REF!&lt;&gt;"",IF(N59="",TRUE,FALSE),FALSE)</formula>
    </cfRule>
  </conditionalFormatting>
  <conditionalFormatting sqref="O59">
    <cfRule type="expression" dxfId="66" priority="109" stopIfTrue="1">
      <formula>IF(#REF!&lt;&gt;"",IF(O59="",TRUE,FALSE),FALSE)</formula>
    </cfRule>
  </conditionalFormatting>
  <conditionalFormatting sqref="I89 B89:C89 F89:G89 P49:P53 P55:P56 P59:P60 F90:F91 G91 I91">
    <cfRule type="expression" dxfId="65" priority="172" stopIfTrue="1">
      <formula>IF($A47&lt;&gt;"",IF(B49="",TRUE,FALSE),FALSE)</formula>
    </cfRule>
  </conditionalFormatting>
  <conditionalFormatting sqref="I87 C87 F87:G87 P11:P12">
    <cfRule type="expression" dxfId="64" priority="173" stopIfTrue="1">
      <formula>IF(#REF!&lt;&gt;"",IF(C11="",TRUE,FALSE),FALSE)</formula>
    </cfRule>
  </conditionalFormatting>
  <conditionalFormatting sqref="M81">
    <cfRule type="expression" dxfId="63" priority="108" stopIfTrue="1">
      <formula>IF($F81="I",TRUE,FALSE)</formula>
    </cfRule>
  </conditionalFormatting>
  <conditionalFormatting sqref="J88:J89">
    <cfRule type="cellIs" dxfId="62" priority="99" stopIfTrue="1" operator="equal">
      <formula>"y"</formula>
    </cfRule>
    <cfRule type="cellIs" dxfId="61" priority="100" stopIfTrue="1" operator="equal">
      <formula>"Y"</formula>
    </cfRule>
  </conditionalFormatting>
  <conditionalFormatting sqref="P48">
    <cfRule type="expression" dxfId="60" priority="233" stopIfTrue="1">
      <formula>IF(#REF!&lt;&gt;"",IF(P48="",TRUE,FALSE),FALSE)</formula>
    </cfRule>
  </conditionalFormatting>
  <conditionalFormatting sqref="B87">
    <cfRule type="expression" dxfId="59" priority="70" stopIfTrue="1">
      <formula>IF($A87&lt;&gt;"",IF(B87="",TRUE,FALSE),FALSE)</formula>
    </cfRule>
  </conditionalFormatting>
  <conditionalFormatting sqref="J90:L90 N90">
    <cfRule type="expression" dxfId="58" priority="68" stopIfTrue="1">
      <formula>IF($A90&lt;&gt;"",IF(J90="",TRUE,FALSE),FALSE)</formula>
    </cfRule>
  </conditionalFormatting>
  <conditionalFormatting sqref="G90 I90">
    <cfRule type="cellIs" dxfId="57" priority="65" stopIfTrue="1" operator="equal">
      <formula>"y"</formula>
    </cfRule>
    <cfRule type="cellIs" dxfId="56" priority="66" stopIfTrue="1" operator="equal">
      <formula>"Y"</formula>
    </cfRule>
  </conditionalFormatting>
  <conditionalFormatting sqref="I90 B90:C90 G90">
    <cfRule type="expression" dxfId="55" priority="69" stopIfTrue="1">
      <formula>IF($A88&lt;&gt;"",IF(B90="",TRUE,FALSE),FALSE)</formula>
    </cfRule>
  </conditionalFormatting>
  <conditionalFormatting sqref="J90">
    <cfRule type="cellIs" dxfId="54" priority="63" stopIfTrue="1" operator="equal">
      <formula>"y"</formula>
    </cfRule>
    <cfRule type="cellIs" dxfId="53" priority="64" stopIfTrue="1" operator="equal">
      <formula>"Y"</formula>
    </cfRule>
  </conditionalFormatting>
  <conditionalFormatting sqref="B91:C92">
    <cfRule type="expression" dxfId="52" priority="60" stopIfTrue="1">
      <formula>IF($A91&lt;&gt;"",IF(B91="",TRUE,FALSE),FALSE)</formula>
    </cfRule>
  </conditionalFormatting>
  <conditionalFormatting sqref="J92">
    <cfRule type="cellIs" dxfId="51" priority="55" stopIfTrue="1" operator="equal">
      <formula>"y"</formula>
    </cfRule>
    <cfRule type="cellIs" dxfId="50" priority="56" stopIfTrue="1" operator="equal">
      <formula>"Y"</formula>
    </cfRule>
  </conditionalFormatting>
  <conditionalFormatting sqref="I97 B97:C97 F97:G97">
    <cfRule type="expression" dxfId="49" priority="51" stopIfTrue="1">
      <formula>IF($A97&lt;&gt;"",IF(B97="",TRUE,FALSE),FALSE)</formula>
    </cfRule>
  </conditionalFormatting>
  <conditionalFormatting sqref="G96:G98">
    <cfRule type="cellIs" dxfId="48" priority="48" stopIfTrue="1" operator="equal">
      <formula>"y"</formula>
    </cfRule>
    <cfRule type="cellIs" dxfId="47" priority="49" stopIfTrue="1" operator="equal">
      <formula>"Y"</formula>
    </cfRule>
  </conditionalFormatting>
  <conditionalFormatting sqref="I98 B98:C98 F98:G98">
    <cfRule type="expression" dxfId="46" priority="52" stopIfTrue="1">
      <formula>IF($A96&lt;&gt;"",IF(B98="",TRUE,FALSE),FALSE)</formula>
    </cfRule>
  </conditionalFormatting>
  <conditionalFormatting sqref="I96 C96 F96:G96">
    <cfRule type="expression" dxfId="45" priority="53" stopIfTrue="1">
      <formula>IF(#REF!&lt;&gt;"",IF(C96="",TRUE,FALSE),FALSE)</formula>
    </cfRule>
  </conditionalFormatting>
  <conditionalFormatting sqref="J97:J98">
    <cfRule type="cellIs" dxfId="44" priority="46" stopIfTrue="1" operator="equal">
      <formula>"y"</formula>
    </cfRule>
    <cfRule type="cellIs" dxfId="43" priority="47" stopIfTrue="1" operator="equal">
      <formula>"Y"</formula>
    </cfRule>
  </conditionalFormatting>
  <conditionalFormatting sqref="B96">
    <cfRule type="expression" dxfId="42" priority="45" stopIfTrue="1">
      <formula>IF($A96&lt;&gt;"",IF(B96="",TRUE,FALSE),FALSE)</formula>
    </cfRule>
  </conditionalFormatting>
  <conditionalFormatting sqref="O92">
    <cfRule type="expression" dxfId="41" priority="34" stopIfTrue="1">
      <formula>IF($A92&lt;&gt;"",IF(O92="",TRUE,FALSE),FALSE)</formula>
    </cfRule>
  </conditionalFormatting>
  <conditionalFormatting sqref="O90">
    <cfRule type="expression" dxfId="40" priority="33" stopIfTrue="1">
      <formula>IF($A90&lt;&gt;"",IF(O90="",TRUE,FALSE),FALSE)</formula>
    </cfRule>
  </conditionalFormatting>
  <conditionalFormatting sqref="O91">
    <cfRule type="expression" dxfId="39" priority="32" stopIfTrue="1">
      <formula>IF($A91&lt;&gt;"",IF(O91="",TRUE,FALSE),FALSE)</formula>
    </cfRule>
  </conditionalFormatting>
  <conditionalFormatting sqref="M90">
    <cfRule type="expression" dxfId="38" priority="31" stopIfTrue="1">
      <formula>IF($A90&lt;&gt;"",IF(M90="",TRUE,FALSE),FALSE)</formula>
    </cfRule>
  </conditionalFormatting>
  <conditionalFormatting sqref="M90">
    <cfRule type="expression" dxfId="37" priority="30" stopIfTrue="1">
      <formula>IF($F90="I",TRUE,FALSE)</formula>
    </cfRule>
  </conditionalFormatting>
  <conditionalFormatting sqref="P61">
    <cfRule type="expression" dxfId="36" priority="268" stopIfTrue="1">
      <formula>IF(#REF!&lt;&gt;"",IF(P61="",TRUE,FALSE),FALSE)</formula>
    </cfRule>
  </conditionalFormatting>
  <conditionalFormatting sqref="P13:P47 P57 F92:G92 I92 F94:G94">
    <cfRule type="expression" dxfId="35" priority="279" stopIfTrue="1">
      <formula>IF($A12&lt;&gt;"",IF(F13="",TRUE,FALSE),FALSE)</formula>
    </cfRule>
  </conditionalFormatting>
  <conditionalFormatting sqref="P66">
    <cfRule type="expression" dxfId="34" priority="286" stopIfTrue="1">
      <formula>IF($A52&lt;&gt;"",IF(P66="",TRUE,FALSE),FALSE)</formula>
    </cfRule>
  </conditionalFormatting>
  <conditionalFormatting sqref="B9">
    <cfRule type="expression" dxfId="33" priority="23" stopIfTrue="1">
      <formula>IF($A9&lt;&gt;"",IF(B9="",TRUE,FALSE),FALSE)</formula>
    </cfRule>
  </conditionalFormatting>
  <conditionalFormatting sqref="F9">
    <cfRule type="expression" dxfId="32" priority="22" stopIfTrue="1">
      <formula>IF($A9&lt;&gt;"",IF(F9="",TRUE,FALSE),FALSE)</formula>
    </cfRule>
  </conditionalFormatting>
  <conditionalFormatting sqref="G9">
    <cfRule type="cellIs" dxfId="31" priority="20" stopIfTrue="1" operator="equal">
      <formula>"y"</formula>
    </cfRule>
    <cfRule type="cellIs" dxfId="30" priority="21" stopIfTrue="1" operator="equal">
      <formula>"Y"</formula>
    </cfRule>
  </conditionalFormatting>
  <conditionalFormatting sqref="G9">
    <cfRule type="expression" dxfId="29" priority="19" stopIfTrue="1">
      <formula>IF($A9&lt;&gt;"",IF(G9="",TRUE,FALSE),FALSE)</formula>
    </cfRule>
  </conditionalFormatting>
  <conditionalFormatting sqref="I9">
    <cfRule type="cellIs" dxfId="28" priority="17" stopIfTrue="1" operator="equal">
      <formula>"y"</formula>
    </cfRule>
    <cfRule type="cellIs" dxfId="27" priority="18" stopIfTrue="1" operator="equal">
      <formula>"Y"</formula>
    </cfRule>
  </conditionalFormatting>
  <conditionalFormatting sqref="I9">
    <cfRule type="expression" dxfId="26" priority="16" stopIfTrue="1">
      <formula>IF($A9&lt;&gt;"",IF(I9="",TRUE,FALSE),FALSE)</formula>
    </cfRule>
  </conditionalFormatting>
  <conditionalFormatting sqref="J9">
    <cfRule type="expression" dxfId="25" priority="15" stopIfTrue="1">
      <formula>IF($A9&lt;&gt;"",IF(J9="",TRUE,FALSE),FALSE)</formula>
    </cfRule>
  </conditionalFormatting>
  <conditionalFormatting sqref="K9">
    <cfRule type="expression" dxfId="24" priority="14" stopIfTrue="1">
      <formula>IF($A9&lt;&gt;"",IF(K9="",TRUE,FALSE),FALSE)</formula>
    </cfRule>
  </conditionalFormatting>
  <conditionalFormatting sqref="L9">
    <cfRule type="expression" dxfId="23" priority="13" stopIfTrue="1">
      <formula>IF($A9&lt;&gt;"",IF(L9="",TRUE,FALSE),FALSE)</formula>
    </cfRule>
  </conditionalFormatting>
  <conditionalFormatting sqref="N9">
    <cfRule type="expression" dxfId="22" priority="10" stopIfTrue="1">
      <formula>IF($A9&lt;&gt;"",IF(N9="",TRUE,FALSE),FALSE)</formula>
    </cfRule>
  </conditionalFormatting>
  <conditionalFormatting sqref="O9">
    <cfRule type="expression" dxfId="21" priority="9" stopIfTrue="1">
      <formula>IF($A9&lt;&gt;"",IF(O9="",TRUE,FALSE),FALSE)</formula>
    </cfRule>
  </conditionalFormatting>
  <conditionalFormatting sqref="M9">
    <cfRule type="expression" dxfId="20" priority="6" stopIfTrue="1">
      <formula>IF($A9&lt;&gt;"",IF(M9="",TRUE,FALSE),FALSE)</formula>
    </cfRule>
  </conditionalFormatting>
  <conditionalFormatting sqref="N63:N65">
    <cfRule type="expression" dxfId="19" priority="298" stopIfTrue="1">
      <formula>IF($G63="I",TRUE,FALSE)</formula>
    </cfRule>
  </conditionalFormatting>
  <conditionalFormatting sqref="F63:F65">
    <cfRule type="expression" dxfId="18" priority="5" stopIfTrue="1">
      <formula>IF($A63&lt;&gt;"",IF(F63="",TRUE,FALSE),FALSE)</formula>
    </cfRule>
  </conditionalFormatting>
  <conditionalFormatting sqref="F93:G93 F95:G95">
    <cfRule type="expression" dxfId="17" priority="306" stopIfTrue="1">
      <formula>IF(#REF!&lt;&gt;"",IF(F93="",TRUE,FALSE),FALSE)</formula>
    </cfRule>
  </conditionalFormatting>
  <conditionalFormatting sqref="J47:J48">
    <cfRule type="cellIs" dxfId="10" priority="3" stopIfTrue="1" operator="equal">
      <formula>"y"</formula>
    </cfRule>
    <cfRule type="cellIs" dxfId="9" priority="4" stopIfTrue="1" operator="equal">
      <formula>"Y"</formula>
    </cfRule>
  </conditionalFormatting>
  <conditionalFormatting sqref="J53:J54">
    <cfRule type="cellIs" dxfId="4" priority="1" stopIfTrue="1" operator="equal">
      <formula>"y"</formula>
    </cfRule>
    <cfRule type="cellIs" dxfId="3" priority="2" stopIfTrue="1" operator="equal">
      <formula>"Y"</formula>
    </cfRule>
  </conditionalFormatting>
  <dataValidations count="4">
    <dataValidation type="list" allowBlank="1" showInputMessage="1" showErrorMessage="1" sqref="G68:H89 G96:G65594 G6:H8 H63:I65 G10:H62 H91:H65594">
      <formula1>$S$2:$T$2</formula1>
    </dataValidation>
    <dataValidation type="list" allowBlank="1" showInputMessage="1" showErrorMessage="1" sqref="F6:F8 G63:G65 F10:F62 F68:F65594">
      <formula1>$S$1:$W$1</formula1>
    </dataValidation>
    <dataValidation type="list" allowBlank="1" showInputMessage="1" showErrorMessage="1" sqref="G5:H5">
      <formula1>$T$1:$T$2</formula1>
    </dataValidation>
    <dataValidation type="list" allowBlank="1" showInputMessage="1" showErrorMessage="1" sqref="F5">
      <formula1>$S$1:$S$3</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189"/>
  <sheetViews>
    <sheetView zoomScaleNormal="100" workbookViewId="0">
      <pane xSplit="1" ySplit="5" topLeftCell="E11" activePane="bottomRight" state="frozenSplit"/>
      <selection pane="topRight"/>
      <selection pane="bottomLeft" activeCell="A6" sqref="A6"/>
      <selection pane="bottomRight" activeCell="K16" sqref="K16"/>
    </sheetView>
  </sheetViews>
  <sheetFormatPr defaultRowHeight="12.75" x14ac:dyDescent="0.2"/>
  <cols>
    <col min="1" max="1" width="30.7109375" style="200" bestFit="1" customWidth="1"/>
    <col min="2" max="2" width="27.5703125" style="200" bestFit="1" customWidth="1"/>
    <col min="3" max="3" width="15.5703125" style="211" hidden="1" customWidth="1"/>
    <col min="4" max="4" width="34.42578125" style="211" bestFit="1" customWidth="1"/>
    <col min="5" max="5" width="84.140625" style="201" bestFit="1" customWidth="1"/>
    <col min="6" max="6" width="7.140625" style="202" bestFit="1" customWidth="1"/>
    <col min="7" max="7" width="5.7109375" style="202" bestFit="1" customWidth="1"/>
    <col min="8" max="8" width="8.5703125" style="202" bestFit="1" customWidth="1"/>
    <col min="9" max="9" width="12.85546875" style="202" bestFit="1" customWidth="1"/>
    <col min="10" max="10" width="8.7109375" style="203" customWidth="1"/>
    <col min="11" max="11" width="7.5703125" style="204" customWidth="1"/>
    <col min="12" max="12" width="8.7109375" style="203" customWidth="1"/>
    <col min="13" max="13" width="15.7109375" style="203" customWidth="1"/>
    <col min="14" max="14" width="22.28515625" style="203" hidden="1" customWidth="1"/>
    <col min="15" max="15" width="36.85546875" style="194" bestFit="1" customWidth="1"/>
    <col min="16" max="16" width="6.5703125" style="195" customWidth="1"/>
    <col min="17" max="16384" width="9.140625" style="195"/>
  </cols>
  <sheetData>
    <row r="1" spans="1:18" s="130" customFormat="1" ht="29.25" customHeight="1" thickBot="1" x14ac:dyDescent="0.25">
      <c r="A1" s="335" t="str">
        <f>'Change Log'!A1:D1</f>
        <v>Digitial Column Position Sensor I2C - Rev 9</v>
      </c>
      <c r="B1" s="336"/>
      <c r="C1" s="336"/>
      <c r="D1" s="336"/>
      <c r="E1" s="336"/>
      <c r="F1" s="336"/>
      <c r="G1" s="336"/>
      <c r="H1" s="336"/>
      <c r="I1" s="336"/>
      <c r="J1" s="336"/>
      <c r="K1" s="336"/>
      <c r="L1" s="336"/>
      <c r="M1" s="336"/>
      <c r="N1" s="336"/>
      <c r="O1" s="128"/>
      <c r="R1" s="129" t="str">
        <f>Template!C26</f>
        <v>N</v>
      </c>
    </row>
    <row r="2" spans="1:18" s="130" customFormat="1" ht="13.5" thickBot="1" x14ac:dyDescent="0.25">
      <c r="A2" s="329" t="s">
        <v>91</v>
      </c>
      <c r="B2" s="330"/>
      <c r="C2" s="330"/>
      <c r="D2" s="330"/>
      <c r="E2" s="337"/>
      <c r="F2" s="337"/>
      <c r="G2" s="131"/>
      <c r="H2" s="131"/>
      <c r="I2" s="338" t="s">
        <v>84</v>
      </c>
      <c r="J2" s="337"/>
      <c r="K2" s="337"/>
      <c r="L2" s="337"/>
      <c r="M2" s="339"/>
      <c r="N2" s="132"/>
      <c r="O2" s="133"/>
      <c r="R2" s="129" t="str">
        <f>Template!C36</f>
        <v>Y</v>
      </c>
    </row>
    <row r="3" spans="1:18" s="130" customFormat="1" x14ac:dyDescent="0.2">
      <c r="A3" s="170"/>
      <c r="B3" s="171"/>
      <c r="C3" s="172"/>
      <c r="D3" s="172"/>
      <c r="E3" s="172"/>
      <c r="F3" s="173"/>
      <c r="G3" s="174"/>
      <c r="H3" s="173"/>
      <c r="I3" s="206"/>
      <c r="J3" s="325" t="s">
        <v>83</v>
      </c>
      <c r="K3" s="326"/>
      <c r="L3" s="176"/>
      <c r="M3" s="177"/>
      <c r="N3" s="177"/>
      <c r="O3" s="133"/>
      <c r="R3" s="129" t="str">
        <f>Template!C46</f>
        <v>P</v>
      </c>
    </row>
    <row r="4" spans="1:18" s="130" customFormat="1" ht="23.25" thickBot="1" x14ac:dyDescent="0.25">
      <c r="A4" s="178" t="s">
        <v>153</v>
      </c>
      <c r="B4" s="127" t="s">
        <v>136</v>
      </c>
      <c r="C4" s="180" t="s">
        <v>94</v>
      </c>
      <c r="D4" s="212" t="s">
        <v>155</v>
      </c>
      <c r="E4" s="180" t="s">
        <v>57</v>
      </c>
      <c r="F4" s="180" t="s">
        <v>92</v>
      </c>
      <c r="G4" s="181" t="s">
        <v>137</v>
      </c>
      <c r="H4" s="180" t="s">
        <v>167</v>
      </c>
      <c r="I4" s="207" t="s">
        <v>166</v>
      </c>
      <c r="J4" s="182" t="s">
        <v>138</v>
      </c>
      <c r="K4" s="183" t="s">
        <v>139</v>
      </c>
      <c r="L4" s="180" t="s">
        <v>52</v>
      </c>
      <c r="M4" s="184" t="s">
        <v>90</v>
      </c>
      <c r="N4" s="177" t="s">
        <v>85</v>
      </c>
      <c r="O4" s="133"/>
    </row>
    <row r="5" spans="1:18" s="130" customFormat="1" ht="15" customHeight="1" x14ac:dyDescent="0.2">
      <c r="A5" s="136" t="s">
        <v>154</v>
      </c>
      <c r="B5" s="137"/>
      <c r="C5" s="138"/>
      <c r="D5" s="138"/>
      <c r="E5" s="138"/>
      <c r="F5" s="139"/>
      <c r="G5" s="139"/>
      <c r="H5" s="139"/>
      <c r="I5" s="139"/>
      <c r="J5" s="141"/>
      <c r="K5" s="140"/>
      <c r="L5" s="141"/>
      <c r="M5" s="141"/>
      <c r="N5" s="141"/>
      <c r="O5" s="133"/>
    </row>
    <row r="6" spans="1:18" x14ac:dyDescent="0.2">
      <c r="A6" s="208" t="s">
        <v>244</v>
      </c>
      <c r="B6" s="209" t="s">
        <v>273</v>
      </c>
      <c r="C6" s="197"/>
      <c r="D6" s="187" t="s">
        <v>401</v>
      </c>
      <c r="E6" s="197" t="s">
        <v>231</v>
      </c>
      <c r="F6" s="198" t="s">
        <v>82</v>
      </c>
      <c r="G6" s="199" t="s">
        <v>82</v>
      </c>
      <c r="H6" s="199"/>
      <c r="I6" s="222">
        <v>10</v>
      </c>
      <c r="J6" s="196">
        <v>1</v>
      </c>
      <c r="K6" s="196">
        <v>60</v>
      </c>
      <c r="L6" s="196" t="s">
        <v>245</v>
      </c>
      <c r="M6" s="196" t="s">
        <v>248</v>
      </c>
      <c r="N6" s="193"/>
    </row>
    <row r="7" spans="1:18" x14ac:dyDescent="0.2">
      <c r="A7" s="208" t="s">
        <v>272</v>
      </c>
      <c r="B7" s="209" t="s">
        <v>274</v>
      </c>
      <c r="C7" s="197"/>
      <c r="D7" s="187" t="s">
        <v>401</v>
      </c>
      <c r="E7" s="197" t="s">
        <v>232</v>
      </c>
      <c r="F7" s="198" t="s">
        <v>82</v>
      </c>
      <c r="G7" s="199" t="s">
        <v>82</v>
      </c>
      <c r="H7" s="199"/>
      <c r="I7" s="222">
        <v>10</v>
      </c>
      <c r="J7" s="196">
        <v>1</v>
      </c>
      <c r="K7" s="196">
        <v>60</v>
      </c>
      <c r="L7" s="196" t="s">
        <v>245</v>
      </c>
      <c r="M7" s="196" t="s">
        <v>248</v>
      </c>
      <c r="N7" s="193"/>
    </row>
    <row r="8" spans="1:18" ht="22.5" x14ac:dyDescent="0.2">
      <c r="A8" s="221" t="s">
        <v>243</v>
      </c>
      <c r="B8" s="209" t="s">
        <v>234</v>
      </c>
      <c r="C8" s="197"/>
      <c r="D8" s="187" t="s">
        <v>401</v>
      </c>
      <c r="E8" s="197" t="s">
        <v>235</v>
      </c>
      <c r="F8" s="198" t="s">
        <v>82</v>
      </c>
      <c r="G8" s="199" t="s">
        <v>82</v>
      </c>
      <c r="H8" s="199"/>
      <c r="I8" s="222" t="b">
        <v>0</v>
      </c>
      <c r="J8" s="196" t="b">
        <v>0</v>
      </c>
      <c r="K8" s="196" t="b">
        <v>1</v>
      </c>
      <c r="L8" s="196" t="s">
        <v>241</v>
      </c>
      <c r="M8" s="196" t="s">
        <v>242</v>
      </c>
      <c r="N8" s="193"/>
    </row>
    <row r="9" spans="1:18" x14ac:dyDescent="0.2">
      <c r="A9" s="221" t="s">
        <v>247</v>
      </c>
      <c r="B9" s="209" t="s">
        <v>230</v>
      </c>
      <c r="C9" s="197"/>
      <c r="D9" s="187" t="s">
        <v>401</v>
      </c>
      <c r="E9" s="197" t="s">
        <v>233</v>
      </c>
      <c r="F9" s="198" t="s">
        <v>82</v>
      </c>
      <c r="G9" s="199" t="s">
        <v>82</v>
      </c>
      <c r="H9" s="199"/>
      <c r="I9" s="222">
        <v>240</v>
      </c>
      <c r="J9" s="196">
        <v>20</v>
      </c>
      <c r="K9" s="196">
        <v>340</v>
      </c>
      <c r="L9" s="196" t="s">
        <v>246</v>
      </c>
      <c r="M9" s="196" t="s">
        <v>248</v>
      </c>
      <c r="N9" s="193"/>
    </row>
    <row r="10" spans="1:18" ht="22.5" x14ac:dyDescent="0.2">
      <c r="A10" s="221" t="s">
        <v>285</v>
      </c>
      <c r="B10" s="209" t="s">
        <v>286</v>
      </c>
      <c r="C10" s="197"/>
      <c r="D10" s="187" t="s">
        <v>401</v>
      </c>
      <c r="E10" s="197" t="s">
        <v>236</v>
      </c>
      <c r="F10" s="198" t="s">
        <v>82</v>
      </c>
      <c r="G10" s="199" t="s">
        <v>82</v>
      </c>
      <c r="H10" s="199"/>
      <c r="I10" s="222">
        <v>4.8</v>
      </c>
      <c r="J10" s="196">
        <v>1</v>
      </c>
      <c r="K10" s="196">
        <v>100</v>
      </c>
      <c r="L10" s="196" t="s">
        <v>246</v>
      </c>
      <c r="M10" s="196" t="s">
        <v>248</v>
      </c>
      <c r="N10" s="193"/>
    </row>
    <row r="11" spans="1:18" x14ac:dyDescent="0.2">
      <c r="A11" s="221" t="s">
        <v>278</v>
      </c>
      <c r="B11" s="209" t="s">
        <v>240</v>
      </c>
      <c r="C11" s="197"/>
      <c r="D11" s="187" t="s">
        <v>401</v>
      </c>
      <c r="E11" s="197" t="s">
        <v>249</v>
      </c>
      <c r="F11" s="198" t="s">
        <v>82</v>
      </c>
      <c r="G11" s="199" t="s">
        <v>82</v>
      </c>
      <c r="H11" s="199"/>
      <c r="I11" s="222" t="s">
        <v>240</v>
      </c>
      <c r="J11" s="196" t="s">
        <v>240</v>
      </c>
      <c r="K11" s="196" t="s">
        <v>240</v>
      </c>
      <c r="L11" s="196" t="s">
        <v>241</v>
      </c>
      <c r="M11" s="196" t="s">
        <v>250</v>
      </c>
      <c r="N11" s="193"/>
    </row>
    <row r="12" spans="1:18" x14ac:dyDescent="0.2">
      <c r="A12" s="221" t="s">
        <v>279</v>
      </c>
      <c r="B12" s="209" t="s">
        <v>284</v>
      </c>
      <c r="C12" s="197"/>
      <c r="D12" s="187" t="s">
        <v>401</v>
      </c>
      <c r="E12" s="197" t="s">
        <v>237</v>
      </c>
      <c r="F12" s="198" t="s">
        <v>82</v>
      </c>
      <c r="G12" s="199" t="s">
        <v>82</v>
      </c>
      <c r="H12" s="199"/>
      <c r="I12" s="222">
        <v>20</v>
      </c>
      <c r="J12" s="196">
        <v>0</v>
      </c>
      <c r="K12" s="196">
        <v>100</v>
      </c>
      <c r="L12" s="196" t="s">
        <v>241</v>
      </c>
      <c r="M12" s="196" t="s">
        <v>251</v>
      </c>
      <c r="N12" s="193"/>
    </row>
    <row r="13" spans="1:18" ht="22.5" x14ac:dyDescent="0.2">
      <c r="A13" s="221" t="s">
        <v>280</v>
      </c>
      <c r="B13" s="209" t="s">
        <v>282</v>
      </c>
      <c r="C13" s="197"/>
      <c r="D13" s="187" t="s">
        <v>401</v>
      </c>
      <c r="E13" s="197" t="s">
        <v>238</v>
      </c>
      <c r="F13" s="198" t="s">
        <v>82</v>
      </c>
      <c r="G13" s="199" t="s">
        <v>82</v>
      </c>
      <c r="H13" s="199"/>
      <c r="I13" s="222">
        <v>4</v>
      </c>
      <c r="J13" s="196">
        <v>0</v>
      </c>
      <c r="K13" s="196">
        <v>50</v>
      </c>
      <c r="L13" s="196" t="s">
        <v>241</v>
      </c>
      <c r="M13" s="196" t="s">
        <v>251</v>
      </c>
      <c r="N13" s="193"/>
    </row>
    <row r="14" spans="1:18" x14ac:dyDescent="0.2">
      <c r="A14" s="221" t="s">
        <v>281</v>
      </c>
      <c r="B14" s="223" t="s">
        <v>283</v>
      </c>
      <c r="C14" s="197"/>
      <c r="D14" s="187" t="s">
        <v>401</v>
      </c>
      <c r="E14" s="197" t="s">
        <v>239</v>
      </c>
      <c r="F14" s="198" t="s">
        <v>82</v>
      </c>
      <c r="G14" s="199" t="s">
        <v>82</v>
      </c>
      <c r="H14" s="199"/>
      <c r="I14" s="222">
        <v>1</v>
      </c>
      <c r="J14" s="196">
        <v>0</v>
      </c>
      <c r="K14" s="196">
        <v>50</v>
      </c>
      <c r="L14" s="196" t="s">
        <v>241</v>
      </c>
      <c r="M14" s="196" t="s">
        <v>251</v>
      </c>
      <c r="N14" s="193"/>
    </row>
    <row r="15" spans="1:18" x14ac:dyDescent="0.2">
      <c r="A15" s="210" t="s">
        <v>290</v>
      </c>
      <c r="B15" s="209" t="s">
        <v>240</v>
      </c>
      <c r="C15" s="197"/>
      <c r="D15" s="187" t="s">
        <v>401</v>
      </c>
      <c r="E15" s="197"/>
      <c r="F15" s="198" t="s">
        <v>82</v>
      </c>
      <c r="G15" s="199" t="s">
        <v>82</v>
      </c>
      <c r="H15" s="199"/>
      <c r="I15" s="222" t="s">
        <v>240</v>
      </c>
      <c r="J15" s="196" t="s">
        <v>240</v>
      </c>
      <c r="K15" s="196" t="s">
        <v>240</v>
      </c>
      <c r="L15" s="196" t="s">
        <v>241</v>
      </c>
      <c r="M15" s="196" t="s">
        <v>250</v>
      </c>
      <c r="N15" s="193"/>
    </row>
    <row r="16" spans="1:18" ht="33.75" x14ac:dyDescent="0.2">
      <c r="A16" s="210" t="s">
        <v>291</v>
      </c>
      <c r="B16" s="209" t="s">
        <v>287</v>
      </c>
      <c r="C16" s="197"/>
      <c r="D16" s="187" t="s">
        <v>401</v>
      </c>
      <c r="E16" s="197" t="s">
        <v>295</v>
      </c>
      <c r="F16" s="198" t="s">
        <v>82</v>
      </c>
      <c r="G16" s="199" t="s">
        <v>82</v>
      </c>
      <c r="H16" s="199"/>
      <c r="I16" s="222">
        <v>21</v>
      </c>
      <c r="J16" s="196">
        <v>10</v>
      </c>
      <c r="K16" s="196">
        <v>255</v>
      </c>
      <c r="L16" s="196" t="s">
        <v>241</v>
      </c>
      <c r="M16" s="196" t="s">
        <v>251</v>
      </c>
      <c r="N16" s="193"/>
    </row>
    <row r="17" spans="1:15" ht="22.5" x14ac:dyDescent="0.2">
      <c r="A17" s="210" t="s">
        <v>292</v>
      </c>
      <c r="B17" s="209" t="s">
        <v>288</v>
      </c>
      <c r="C17" s="197"/>
      <c r="D17" s="187" t="s">
        <v>401</v>
      </c>
      <c r="E17" s="197" t="s">
        <v>294</v>
      </c>
      <c r="F17" s="198" t="s">
        <v>82</v>
      </c>
      <c r="G17" s="199" t="s">
        <v>82</v>
      </c>
      <c r="H17" s="199"/>
      <c r="I17" s="222">
        <v>20</v>
      </c>
      <c r="J17" s="196">
        <v>0</v>
      </c>
      <c r="K17" s="196">
        <v>50</v>
      </c>
      <c r="L17" s="196" t="s">
        <v>241</v>
      </c>
      <c r="M17" s="196" t="s">
        <v>251</v>
      </c>
      <c r="N17" s="193"/>
    </row>
    <row r="18" spans="1:15" x14ac:dyDescent="0.2">
      <c r="A18" s="210" t="s">
        <v>293</v>
      </c>
      <c r="B18" s="209" t="s">
        <v>289</v>
      </c>
      <c r="C18" s="197"/>
      <c r="D18" s="187" t="s">
        <v>401</v>
      </c>
      <c r="E18" s="197" t="s">
        <v>296</v>
      </c>
      <c r="F18" s="198" t="s">
        <v>82</v>
      </c>
      <c r="G18" s="199" t="s">
        <v>82</v>
      </c>
      <c r="H18" s="199"/>
      <c r="I18" s="222">
        <v>1</v>
      </c>
      <c r="J18" s="196">
        <v>0</v>
      </c>
      <c r="K18" s="196">
        <v>50</v>
      </c>
      <c r="L18" s="196" t="s">
        <v>241</v>
      </c>
      <c r="M18" s="196" t="s">
        <v>251</v>
      </c>
      <c r="N18" s="193"/>
    </row>
    <row r="19" spans="1:15" ht="33.75" x14ac:dyDescent="0.2">
      <c r="A19" s="210" t="s">
        <v>277</v>
      </c>
      <c r="B19" s="209" t="s">
        <v>275</v>
      </c>
      <c r="C19" s="197"/>
      <c r="D19" s="187" t="s">
        <v>401</v>
      </c>
      <c r="E19" s="197" t="s">
        <v>276</v>
      </c>
      <c r="F19" s="198" t="s">
        <v>82</v>
      </c>
      <c r="G19" s="199" t="s">
        <v>82</v>
      </c>
      <c r="H19" s="199"/>
      <c r="I19" s="222">
        <v>1200</v>
      </c>
      <c r="J19" s="196">
        <v>100</v>
      </c>
      <c r="K19" s="196">
        <v>1800</v>
      </c>
      <c r="L19" s="196" t="s">
        <v>246</v>
      </c>
      <c r="M19" s="196" t="s">
        <v>248</v>
      </c>
      <c r="N19" s="193"/>
    </row>
    <row r="20" spans="1:15" x14ac:dyDescent="0.2">
      <c r="A20" s="221" t="s">
        <v>265</v>
      </c>
      <c r="B20" s="223" t="s">
        <v>240</v>
      </c>
      <c r="C20" s="197"/>
      <c r="D20" s="187" t="s">
        <v>401</v>
      </c>
      <c r="E20" s="197"/>
      <c r="F20" s="198" t="s">
        <v>82</v>
      </c>
      <c r="G20" s="199" t="s">
        <v>82</v>
      </c>
      <c r="H20" s="199"/>
      <c r="I20" s="222" t="s">
        <v>240</v>
      </c>
      <c r="J20" s="196" t="s">
        <v>240</v>
      </c>
      <c r="K20" s="196" t="s">
        <v>240</v>
      </c>
      <c r="L20" s="196" t="s">
        <v>241</v>
      </c>
      <c r="M20" s="196" t="s">
        <v>250</v>
      </c>
      <c r="N20" s="193"/>
    </row>
    <row r="21" spans="1:15" x14ac:dyDescent="0.2">
      <c r="A21" s="210" t="s">
        <v>266</v>
      </c>
      <c r="B21" s="224" t="s">
        <v>252</v>
      </c>
      <c r="C21" s="197"/>
      <c r="D21" s="187" t="s">
        <v>401</v>
      </c>
      <c r="E21" s="197" t="s">
        <v>263</v>
      </c>
      <c r="F21" s="198" t="s">
        <v>82</v>
      </c>
      <c r="G21" s="199" t="s">
        <v>82</v>
      </c>
      <c r="H21" s="199"/>
      <c r="I21" s="222">
        <v>2</v>
      </c>
      <c r="J21" s="196">
        <v>1</v>
      </c>
      <c r="K21" s="196">
        <v>255</v>
      </c>
      <c r="L21" s="196" t="s">
        <v>241</v>
      </c>
      <c r="M21" s="196" t="s">
        <v>251</v>
      </c>
      <c r="N21" s="193"/>
    </row>
    <row r="22" spans="1:15" x14ac:dyDescent="0.2">
      <c r="A22" s="210" t="s">
        <v>267</v>
      </c>
      <c r="B22" s="224" t="s">
        <v>253</v>
      </c>
      <c r="C22" s="197"/>
      <c r="D22" s="187" t="s">
        <v>401</v>
      </c>
      <c r="E22" s="197" t="s">
        <v>262</v>
      </c>
      <c r="F22" s="198" t="s">
        <v>82</v>
      </c>
      <c r="G22" s="199" t="s">
        <v>82</v>
      </c>
      <c r="H22" s="199"/>
      <c r="I22" s="222">
        <v>1</v>
      </c>
      <c r="J22" s="196">
        <v>0</v>
      </c>
      <c r="K22" s="196">
        <v>50</v>
      </c>
      <c r="L22" s="196" t="s">
        <v>241</v>
      </c>
      <c r="M22" s="196" t="s">
        <v>251</v>
      </c>
      <c r="N22" s="193"/>
    </row>
    <row r="23" spans="1:15" x14ac:dyDescent="0.2">
      <c r="A23" s="210" t="s">
        <v>268</v>
      </c>
      <c r="B23" s="224" t="s">
        <v>254</v>
      </c>
      <c r="C23" s="197"/>
      <c r="D23" s="187" t="s">
        <v>401</v>
      </c>
      <c r="E23" s="197" t="s">
        <v>261</v>
      </c>
      <c r="F23" s="198" t="s">
        <v>82</v>
      </c>
      <c r="G23" s="199" t="s">
        <v>82</v>
      </c>
      <c r="H23" s="199"/>
      <c r="I23" s="222">
        <v>1</v>
      </c>
      <c r="J23" s="196">
        <v>0</v>
      </c>
      <c r="K23" s="196">
        <v>50</v>
      </c>
      <c r="L23" s="196" t="s">
        <v>241</v>
      </c>
      <c r="M23" s="196" t="s">
        <v>251</v>
      </c>
      <c r="N23" s="193"/>
    </row>
    <row r="24" spans="1:15" x14ac:dyDescent="0.2">
      <c r="A24" s="210" t="s">
        <v>264</v>
      </c>
      <c r="B24" s="224" t="s">
        <v>240</v>
      </c>
      <c r="C24" s="197"/>
      <c r="D24" s="187" t="s">
        <v>401</v>
      </c>
      <c r="E24" s="197"/>
      <c r="F24" s="198" t="s">
        <v>82</v>
      </c>
      <c r="G24" s="199" t="s">
        <v>82</v>
      </c>
      <c r="H24" s="199"/>
      <c r="I24" s="222" t="s">
        <v>240</v>
      </c>
      <c r="J24" s="196" t="s">
        <v>240</v>
      </c>
      <c r="K24" s="196" t="s">
        <v>240</v>
      </c>
      <c r="L24" s="196" t="s">
        <v>241</v>
      </c>
      <c r="M24" s="196" t="s">
        <v>250</v>
      </c>
      <c r="N24" s="193"/>
    </row>
    <row r="25" spans="1:15" x14ac:dyDescent="0.2">
      <c r="A25" s="210" t="s">
        <v>269</v>
      </c>
      <c r="B25" s="223" t="s">
        <v>255</v>
      </c>
      <c r="C25" s="197"/>
      <c r="D25" s="187" t="s">
        <v>401</v>
      </c>
      <c r="E25" s="197" t="s">
        <v>260</v>
      </c>
      <c r="F25" s="198" t="s">
        <v>82</v>
      </c>
      <c r="G25" s="199" t="s">
        <v>82</v>
      </c>
      <c r="H25" s="199"/>
      <c r="I25" s="222">
        <v>2</v>
      </c>
      <c r="J25" s="196">
        <v>1</v>
      </c>
      <c r="K25" s="196">
        <v>1000</v>
      </c>
      <c r="L25" s="196" t="s">
        <v>241</v>
      </c>
      <c r="M25" s="196" t="s">
        <v>251</v>
      </c>
      <c r="N25" s="193"/>
    </row>
    <row r="26" spans="1:15" x14ac:dyDescent="0.2">
      <c r="A26" s="210" t="s">
        <v>270</v>
      </c>
      <c r="B26" s="223" t="s">
        <v>256</v>
      </c>
      <c r="C26" s="197"/>
      <c r="D26" s="187" t="s">
        <v>401</v>
      </c>
      <c r="E26" s="197" t="s">
        <v>259</v>
      </c>
      <c r="F26" s="198" t="s">
        <v>82</v>
      </c>
      <c r="G26" s="199" t="s">
        <v>82</v>
      </c>
      <c r="H26" s="199"/>
      <c r="I26" s="222">
        <v>1</v>
      </c>
      <c r="J26" s="196">
        <v>0</v>
      </c>
      <c r="K26" s="196">
        <v>50</v>
      </c>
      <c r="L26" s="196" t="s">
        <v>241</v>
      </c>
      <c r="M26" s="196" t="s">
        <v>251</v>
      </c>
      <c r="N26" s="193"/>
    </row>
    <row r="27" spans="1:15" x14ac:dyDescent="0.2">
      <c r="A27" s="210" t="s">
        <v>271</v>
      </c>
      <c r="B27" s="224" t="s">
        <v>257</v>
      </c>
      <c r="C27" s="197"/>
      <c r="D27" s="187" t="s">
        <v>401</v>
      </c>
      <c r="E27" s="197" t="s">
        <v>258</v>
      </c>
      <c r="F27" s="198" t="s">
        <v>82</v>
      </c>
      <c r="G27" s="199" t="s">
        <v>82</v>
      </c>
      <c r="H27" s="199"/>
      <c r="I27" s="222">
        <v>1</v>
      </c>
      <c r="J27" s="196">
        <v>0</v>
      </c>
      <c r="K27" s="196">
        <v>50</v>
      </c>
      <c r="L27" s="196" t="s">
        <v>241</v>
      </c>
      <c r="M27" s="196" t="s">
        <v>251</v>
      </c>
      <c r="N27" s="193"/>
    </row>
    <row r="28" spans="1:15" x14ac:dyDescent="0.2">
      <c r="A28" s="210" t="s">
        <v>328</v>
      </c>
      <c r="B28" s="209" t="s">
        <v>326</v>
      </c>
      <c r="C28" s="197"/>
      <c r="D28" s="187" t="s">
        <v>401</v>
      </c>
      <c r="E28" s="197" t="s">
        <v>329</v>
      </c>
      <c r="F28" s="198" t="s">
        <v>82</v>
      </c>
      <c r="G28" s="199" t="s">
        <v>82</v>
      </c>
      <c r="H28" s="199"/>
      <c r="I28" s="222">
        <v>15</v>
      </c>
      <c r="J28" s="196">
        <v>0</v>
      </c>
      <c r="K28" s="196">
        <v>127</v>
      </c>
      <c r="L28" s="196" t="s">
        <v>241</v>
      </c>
      <c r="M28" s="196" t="s">
        <v>331</v>
      </c>
      <c r="N28" s="193"/>
    </row>
    <row r="29" spans="1:15" x14ac:dyDescent="0.2">
      <c r="A29" s="210" t="s">
        <v>332</v>
      </c>
      <c r="B29" s="209" t="s">
        <v>327</v>
      </c>
      <c r="C29" s="197"/>
      <c r="D29" s="187" t="s">
        <v>401</v>
      </c>
      <c r="E29" s="197" t="s">
        <v>330</v>
      </c>
      <c r="F29" s="198" t="s">
        <v>82</v>
      </c>
      <c r="G29" s="199" t="s">
        <v>82</v>
      </c>
      <c r="H29" s="199"/>
      <c r="I29" s="222">
        <v>14</v>
      </c>
      <c r="J29" s="196">
        <v>0</v>
      </c>
      <c r="K29" s="196">
        <v>127</v>
      </c>
      <c r="L29" s="196" t="s">
        <v>241</v>
      </c>
      <c r="M29" s="196" t="s">
        <v>331</v>
      </c>
      <c r="N29" s="193"/>
    </row>
    <row r="30" spans="1:15" s="297" customFormat="1" x14ac:dyDescent="0.2">
      <c r="A30" s="288" t="s">
        <v>458</v>
      </c>
      <c r="B30" s="289" t="s">
        <v>455</v>
      </c>
      <c r="C30" s="290"/>
      <c r="D30" s="290" t="s">
        <v>401</v>
      </c>
      <c r="E30" s="290" t="s">
        <v>456</v>
      </c>
      <c r="F30" s="291" t="s">
        <v>82</v>
      </c>
      <c r="G30" s="292" t="s">
        <v>82</v>
      </c>
      <c r="H30" s="292"/>
      <c r="I30" s="293">
        <v>2</v>
      </c>
      <c r="J30" s="294">
        <v>0</v>
      </c>
      <c r="K30" s="294">
        <v>10</v>
      </c>
      <c r="L30" s="294" t="s">
        <v>457</v>
      </c>
      <c r="M30" s="294" t="s">
        <v>248</v>
      </c>
      <c r="N30" s="295"/>
      <c r="O30" s="296"/>
    </row>
    <row r="31" spans="1:15" x14ac:dyDescent="0.2">
      <c r="A31" s="210"/>
      <c r="B31" s="209"/>
      <c r="C31" s="197"/>
      <c r="D31" s="197"/>
      <c r="E31" s="197"/>
      <c r="F31" s="198"/>
      <c r="G31" s="199"/>
      <c r="H31" s="199"/>
      <c r="I31" s="222"/>
      <c r="J31" s="196"/>
      <c r="K31" s="196"/>
      <c r="L31" s="196"/>
      <c r="M31" s="196"/>
      <c r="N31" s="193"/>
    </row>
    <row r="32" spans="1:15" x14ac:dyDescent="0.2">
      <c r="A32" s="210"/>
      <c r="B32" s="209"/>
      <c r="C32" s="197"/>
      <c r="D32" s="197"/>
      <c r="E32" s="197"/>
      <c r="F32" s="198"/>
      <c r="G32" s="199"/>
      <c r="H32" s="199"/>
      <c r="I32" s="222"/>
      <c r="J32" s="196"/>
      <c r="K32" s="196"/>
      <c r="L32" s="196"/>
      <c r="M32" s="196"/>
      <c r="N32" s="193"/>
    </row>
    <row r="33" spans="1:14" x14ac:dyDescent="0.2">
      <c r="A33" s="210"/>
      <c r="B33" s="209"/>
      <c r="C33" s="197"/>
      <c r="D33" s="197"/>
      <c r="E33" s="197"/>
      <c r="F33" s="198"/>
      <c r="G33" s="199"/>
      <c r="H33" s="199"/>
      <c r="I33" s="222"/>
      <c r="J33" s="196"/>
      <c r="K33" s="196"/>
      <c r="L33" s="196"/>
      <c r="M33" s="196"/>
      <c r="N33" s="193"/>
    </row>
    <row r="34" spans="1:14" x14ac:dyDescent="0.2">
      <c r="A34" s="210"/>
      <c r="B34" s="209"/>
      <c r="C34" s="197"/>
      <c r="D34" s="197"/>
      <c r="E34" s="197"/>
      <c r="F34" s="198"/>
      <c r="G34" s="199"/>
      <c r="H34" s="199"/>
      <c r="I34" s="222"/>
      <c r="J34" s="196"/>
      <c r="K34" s="196"/>
      <c r="L34" s="196"/>
      <c r="M34" s="196"/>
      <c r="N34" s="193"/>
    </row>
    <row r="35" spans="1:14" x14ac:dyDescent="0.2">
      <c r="A35" s="210"/>
      <c r="B35" s="209"/>
      <c r="C35" s="197"/>
      <c r="D35" s="197"/>
      <c r="E35" s="197"/>
      <c r="F35" s="198"/>
      <c r="G35" s="199"/>
      <c r="H35" s="199"/>
      <c r="I35" s="222"/>
      <c r="J35" s="196"/>
      <c r="K35" s="196"/>
      <c r="L35" s="196"/>
      <c r="M35" s="196"/>
      <c r="N35" s="193"/>
    </row>
    <row r="36" spans="1:14" x14ac:dyDescent="0.2">
      <c r="A36" s="210"/>
      <c r="B36" s="209"/>
      <c r="C36" s="197"/>
      <c r="D36" s="197"/>
      <c r="E36" s="197"/>
      <c r="F36" s="198"/>
      <c r="G36" s="199"/>
      <c r="H36" s="199"/>
      <c r="I36" s="222"/>
      <c r="J36" s="196"/>
      <c r="K36" s="196"/>
      <c r="L36" s="196"/>
      <c r="M36" s="196"/>
      <c r="N36" s="193"/>
    </row>
    <row r="37" spans="1:14" x14ac:dyDescent="0.2">
      <c r="A37" s="210"/>
      <c r="B37" s="209"/>
      <c r="C37" s="197"/>
      <c r="D37" s="197"/>
      <c r="E37" s="197"/>
      <c r="F37" s="198"/>
      <c r="G37" s="199"/>
      <c r="H37" s="199"/>
      <c r="I37" s="222"/>
      <c r="J37" s="196"/>
      <c r="K37" s="196"/>
      <c r="L37" s="196"/>
      <c r="M37" s="196"/>
      <c r="N37" s="193"/>
    </row>
    <row r="38" spans="1:14" x14ac:dyDescent="0.2">
      <c r="A38" s="210"/>
      <c r="B38" s="209"/>
      <c r="C38" s="197"/>
      <c r="D38" s="197"/>
      <c r="E38" s="197"/>
      <c r="F38" s="198"/>
      <c r="G38" s="199"/>
      <c r="H38" s="199"/>
      <c r="I38" s="222"/>
      <c r="J38" s="196"/>
      <c r="K38" s="196"/>
      <c r="L38" s="196"/>
      <c r="M38" s="196"/>
      <c r="N38" s="193"/>
    </row>
    <row r="39" spans="1:14" x14ac:dyDescent="0.2">
      <c r="A39" s="210"/>
      <c r="B39" s="209"/>
      <c r="C39" s="197"/>
      <c r="D39" s="197"/>
      <c r="E39" s="197"/>
      <c r="F39" s="198"/>
      <c r="G39" s="199"/>
      <c r="H39" s="199"/>
      <c r="I39" s="222"/>
      <c r="J39" s="196"/>
      <c r="K39" s="196"/>
      <c r="L39" s="196"/>
      <c r="M39" s="196"/>
      <c r="N39" s="193"/>
    </row>
    <row r="40" spans="1:14" x14ac:dyDescent="0.2">
      <c r="A40" s="210"/>
      <c r="B40" s="209"/>
      <c r="C40" s="197"/>
      <c r="D40" s="197"/>
      <c r="E40" s="197"/>
      <c r="F40" s="198"/>
      <c r="G40" s="199"/>
      <c r="H40" s="199"/>
      <c r="I40" s="222"/>
      <c r="J40" s="196"/>
      <c r="K40" s="196"/>
      <c r="L40" s="196"/>
      <c r="M40" s="196"/>
      <c r="N40" s="193"/>
    </row>
    <row r="41" spans="1:14" x14ac:dyDescent="0.2">
      <c r="A41" s="210"/>
      <c r="B41" s="209"/>
      <c r="C41" s="197"/>
      <c r="D41" s="197"/>
      <c r="E41" s="197"/>
      <c r="F41" s="198"/>
      <c r="G41" s="199"/>
      <c r="H41" s="199"/>
      <c r="I41" s="222"/>
      <c r="J41" s="196"/>
      <c r="K41" s="196"/>
      <c r="L41" s="196"/>
      <c r="M41" s="196"/>
      <c r="N41" s="193"/>
    </row>
    <row r="42" spans="1:14" x14ac:dyDescent="0.2">
      <c r="A42" s="210"/>
      <c r="B42" s="209"/>
      <c r="C42" s="197"/>
      <c r="D42" s="197"/>
      <c r="E42" s="197"/>
      <c r="F42" s="198"/>
      <c r="G42" s="199"/>
      <c r="H42" s="199"/>
      <c r="I42" s="222"/>
      <c r="J42" s="196"/>
      <c r="K42" s="196"/>
      <c r="L42" s="196"/>
      <c r="M42" s="196"/>
      <c r="N42" s="193"/>
    </row>
    <row r="43" spans="1:14" x14ac:dyDescent="0.2">
      <c r="A43" s="210"/>
      <c r="B43" s="209"/>
      <c r="C43" s="197"/>
      <c r="D43" s="197"/>
      <c r="E43" s="197"/>
      <c r="F43" s="198"/>
      <c r="G43" s="199"/>
      <c r="H43" s="199"/>
      <c r="I43" s="222"/>
      <c r="J43" s="196"/>
      <c r="K43" s="196"/>
      <c r="L43" s="196"/>
      <c r="M43" s="196"/>
      <c r="N43" s="193"/>
    </row>
    <row r="44" spans="1:14" x14ac:dyDescent="0.2">
      <c r="A44" s="210"/>
      <c r="B44" s="209"/>
      <c r="C44" s="197"/>
      <c r="D44" s="197"/>
      <c r="E44" s="197"/>
      <c r="F44" s="198"/>
      <c r="G44" s="199"/>
      <c r="H44" s="199"/>
      <c r="I44" s="222"/>
      <c r="J44" s="196"/>
      <c r="K44" s="196"/>
      <c r="L44" s="196"/>
      <c r="M44" s="196"/>
      <c r="N44" s="193"/>
    </row>
    <row r="45" spans="1:14" x14ac:dyDescent="0.2">
      <c r="A45" s="210"/>
      <c r="B45" s="209"/>
      <c r="C45" s="197"/>
      <c r="D45" s="197"/>
      <c r="E45" s="197"/>
      <c r="F45" s="198"/>
      <c r="G45" s="199"/>
      <c r="H45" s="199"/>
      <c r="I45" s="222"/>
      <c r="J45" s="196"/>
      <c r="K45" s="196"/>
      <c r="L45" s="196"/>
      <c r="M45" s="196"/>
      <c r="N45" s="193"/>
    </row>
    <row r="46" spans="1:14" x14ac:dyDescent="0.2">
      <c r="A46" s="210"/>
      <c r="B46" s="209"/>
      <c r="C46" s="197"/>
      <c r="D46" s="197"/>
      <c r="E46" s="197"/>
      <c r="F46" s="198"/>
      <c r="G46" s="199"/>
      <c r="H46" s="199"/>
      <c r="I46" s="222"/>
      <c r="J46" s="196"/>
      <c r="K46" s="196"/>
      <c r="L46" s="196"/>
      <c r="M46" s="196"/>
      <c r="N46" s="193"/>
    </row>
    <row r="47" spans="1:14" x14ac:dyDescent="0.2">
      <c r="A47" s="210"/>
      <c r="B47" s="209"/>
      <c r="C47" s="197"/>
      <c r="D47" s="197"/>
      <c r="E47" s="197"/>
      <c r="F47" s="198"/>
      <c r="G47" s="199"/>
      <c r="H47" s="199"/>
      <c r="I47" s="222"/>
      <c r="J47" s="196"/>
      <c r="K47" s="196"/>
      <c r="L47" s="196"/>
      <c r="M47" s="196"/>
      <c r="N47" s="193"/>
    </row>
    <row r="48" spans="1:14" x14ac:dyDescent="0.2">
      <c r="A48" s="210"/>
      <c r="B48" s="209"/>
      <c r="C48" s="197"/>
      <c r="D48" s="197"/>
      <c r="E48" s="197"/>
      <c r="F48" s="198"/>
      <c r="G48" s="199"/>
      <c r="H48" s="199"/>
      <c r="I48" s="222"/>
      <c r="J48" s="196"/>
      <c r="K48" s="196"/>
      <c r="L48" s="196"/>
      <c r="M48" s="196"/>
      <c r="N48" s="193"/>
    </row>
    <row r="49" spans="1:14" x14ac:dyDescent="0.2">
      <c r="A49" s="210"/>
      <c r="B49" s="209"/>
      <c r="C49" s="197"/>
      <c r="D49" s="197"/>
      <c r="E49" s="197"/>
      <c r="F49" s="198"/>
      <c r="G49" s="199"/>
      <c r="H49" s="199"/>
      <c r="I49" s="222"/>
      <c r="J49" s="196"/>
      <c r="K49" s="196"/>
      <c r="L49" s="196"/>
      <c r="M49" s="196"/>
      <c r="N49" s="193"/>
    </row>
    <row r="50" spans="1:14" x14ac:dyDescent="0.2">
      <c r="A50" s="210"/>
      <c r="B50" s="209"/>
      <c r="C50" s="197"/>
      <c r="D50" s="197"/>
      <c r="E50" s="197"/>
      <c r="F50" s="198"/>
      <c r="G50" s="199"/>
      <c r="H50" s="199"/>
      <c r="I50" s="222"/>
      <c r="J50" s="196"/>
      <c r="K50" s="196"/>
      <c r="L50" s="196"/>
      <c r="M50" s="196"/>
      <c r="N50" s="193"/>
    </row>
    <row r="51" spans="1:14" x14ac:dyDescent="0.2">
      <c r="A51" s="210"/>
      <c r="B51" s="209"/>
      <c r="C51" s="197"/>
      <c r="D51" s="197"/>
      <c r="E51" s="197"/>
      <c r="F51" s="198"/>
      <c r="G51" s="199"/>
      <c r="H51" s="199"/>
      <c r="I51" s="222"/>
      <c r="J51" s="196"/>
      <c r="K51" s="196"/>
      <c r="L51" s="196"/>
      <c r="M51" s="196"/>
      <c r="N51" s="193"/>
    </row>
    <row r="52" spans="1:14" x14ac:dyDescent="0.2">
      <c r="A52" s="210"/>
      <c r="B52" s="209"/>
      <c r="C52" s="197"/>
      <c r="D52" s="197"/>
      <c r="E52" s="197"/>
      <c r="F52" s="198"/>
      <c r="G52" s="199"/>
      <c r="H52" s="199"/>
      <c r="I52" s="222"/>
      <c r="J52" s="196"/>
      <c r="K52" s="196"/>
      <c r="L52" s="196"/>
      <c r="M52" s="196"/>
      <c r="N52" s="193"/>
    </row>
    <row r="53" spans="1:14" x14ac:dyDescent="0.2">
      <c r="A53" s="210"/>
      <c r="B53" s="209"/>
      <c r="C53" s="197"/>
      <c r="D53" s="197"/>
      <c r="E53" s="197"/>
      <c r="F53" s="198"/>
      <c r="G53" s="199"/>
      <c r="H53" s="199"/>
      <c r="I53" s="222"/>
      <c r="J53" s="196"/>
      <c r="K53" s="196"/>
      <c r="L53" s="196"/>
      <c r="M53" s="196"/>
      <c r="N53" s="193"/>
    </row>
    <row r="54" spans="1:14" x14ac:dyDescent="0.2">
      <c r="A54" s="210"/>
      <c r="B54" s="209"/>
      <c r="C54" s="197"/>
      <c r="D54" s="197"/>
      <c r="E54" s="197"/>
      <c r="F54" s="198"/>
      <c r="G54" s="199"/>
      <c r="H54" s="199"/>
      <c r="I54" s="222"/>
      <c r="J54" s="196"/>
      <c r="K54" s="196"/>
      <c r="L54" s="196"/>
      <c r="M54" s="196"/>
      <c r="N54" s="193"/>
    </row>
    <row r="55" spans="1:14" x14ac:dyDescent="0.2">
      <c r="A55" s="210"/>
      <c r="B55" s="209"/>
      <c r="C55" s="197"/>
      <c r="D55" s="197"/>
      <c r="E55" s="197"/>
      <c r="F55" s="198"/>
      <c r="G55" s="199"/>
      <c r="H55" s="199"/>
      <c r="I55" s="222"/>
      <c r="J55" s="196"/>
      <c r="K55" s="196"/>
      <c r="L55" s="196"/>
      <c r="M55" s="196"/>
      <c r="N55" s="193"/>
    </row>
    <row r="56" spans="1:14" x14ac:dyDescent="0.2">
      <c r="A56" s="210"/>
      <c r="B56" s="209"/>
      <c r="C56" s="197"/>
      <c r="D56" s="197"/>
      <c r="E56" s="197"/>
      <c r="F56" s="198"/>
      <c r="G56" s="199"/>
      <c r="H56" s="199"/>
      <c r="I56" s="222"/>
      <c r="J56" s="196"/>
      <c r="K56" s="196"/>
      <c r="L56" s="196"/>
      <c r="M56" s="196"/>
      <c r="N56" s="193"/>
    </row>
    <row r="57" spans="1:14" x14ac:dyDescent="0.2">
      <c r="A57" s="210"/>
      <c r="B57" s="209"/>
      <c r="C57" s="197"/>
      <c r="D57" s="197"/>
      <c r="E57" s="197"/>
      <c r="F57" s="198"/>
      <c r="G57" s="199"/>
      <c r="H57" s="199"/>
      <c r="I57" s="222"/>
      <c r="J57" s="196"/>
      <c r="K57" s="196"/>
      <c r="L57" s="196"/>
      <c r="M57" s="196"/>
      <c r="N57" s="193"/>
    </row>
    <row r="58" spans="1:14" x14ac:dyDescent="0.2">
      <c r="A58" s="210"/>
      <c r="B58" s="209"/>
      <c r="C58" s="197"/>
      <c r="D58" s="197"/>
      <c r="E58" s="197"/>
      <c r="F58" s="198"/>
      <c r="G58" s="199"/>
      <c r="H58" s="199"/>
      <c r="I58" s="222"/>
      <c r="J58" s="196"/>
      <c r="K58" s="196"/>
      <c r="L58" s="196"/>
      <c r="M58" s="196"/>
      <c r="N58" s="193"/>
    </row>
    <row r="59" spans="1:14" x14ac:dyDescent="0.2">
      <c r="A59" s="210"/>
      <c r="B59" s="209"/>
      <c r="C59" s="197"/>
      <c r="D59" s="197"/>
      <c r="E59" s="197"/>
      <c r="F59" s="198"/>
      <c r="G59" s="199"/>
      <c r="H59" s="199"/>
      <c r="I59" s="222"/>
      <c r="J59" s="196"/>
      <c r="K59" s="196"/>
      <c r="L59" s="196"/>
      <c r="M59" s="196"/>
      <c r="N59" s="193"/>
    </row>
    <row r="60" spans="1:14" x14ac:dyDescent="0.2">
      <c r="A60" s="210"/>
      <c r="B60" s="209"/>
      <c r="C60" s="197"/>
      <c r="D60" s="197"/>
      <c r="E60" s="197"/>
      <c r="F60" s="198"/>
      <c r="G60" s="199"/>
      <c r="H60" s="199"/>
      <c r="I60" s="222"/>
      <c r="J60" s="196"/>
      <c r="K60" s="196"/>
      <c r="L60" s="196"/>
      <c r="M60" s="196"/>
      <c r="N60" s="193"/>
    </row>
    <row r="61" spans="1:14" x14ac:dyDescent="0.2">
      <c r="A61" s="210"/>
      <c r="B61" s="209"/>
      <c r="C61" s="197"/>
      <c r="D61" s="197"/>
      <c r="E61" s="197"/>
      <c r="F61" s="198"/>
      <c r="G61" s="199"/>
      <c r="H61" s="199"/>
      <c r="I61" s="222"/>
      <c r="J61" s="196"/>
      <c r="K61" s="196"/>
      <c r="L61" s="196"/>
      <c r="M61" s="196"/>
      <c r="N61" s="193"/>
    </row>
    <row r="62" spans="1:14" x14ac:dyDescent="0.2">
      <c r="A62" s="210"/>
      <c r="B62" s="209"/>
      <c r="C62" s="197"/>
      <c r="D62" s="197"/>
      <c r="E62" s="197"/>
      <c r="F62" s="198"/>
      <c r="G62" s="199"/>
      <c r="H62" s="199"/>
      <c r="I62" s="222"/>
      <c r="J62" s="196"/>
      <c r="K62" s="196"/>
      <c r="L62" s="196"/>
      <c r="M62" s="196"/>
      <c r="N62" s="193"/>
    </row>
    <row r="63" spans="1:14" x14ac:dyDescent="0.2">
      <c r="A63" s="210"/>
      <c r="B63" s="209"/>
      <c r="C63" s="197"/>
      <c r="D63" s="197"/>
      <c r="E63" s="197"/>
      <c r="F63" s="198"/>
      <c r="G63" s="199"/>
      <c r="H63" s="199"/>
      <c r="I63" s="222"/>
      <c r="J63" s="196"/>
      <c r="K63" s="196"/>
      <c r="L63" s="196"/>
      <c r="M63" s="196"/>
      <c r="N63" s="193"/>
    </row>
    <row r="64" spans="1:14" x14ac:dyDescent="0.2">
      <c r="A64" s="210"/>
      <c r="B64" s="209"/>
      <c r="C64" s="197"/>
      <c r="D64" s="197"/>
      <c r="E64" s="197"/>
      <c r="F64" s="198"/>
      <c r="G64" s="199"/>
      <c r="H64" s="199"/>
      <c r="I64" s="222"/>
      <c r="J64" s="196"/>
      <c r="K64" s="196"/>
      <c r="L64" s="196"/>
      <c r="M64" s="196"/>
      <c r="N64" s="193"/>
    </row>
    <row r="65" spans="1:14" x14ac:dyDescent="0.2">
      <c r="A65" s="210"/>
      <c r="B65" s="209"/>
      <c r="C65" s="197"/>
      <c r="D65" s="197"/>
      <c r="E65" s="197"/>
      <c r="F65" s="198"/>
      <c r="G65" s="199"/>
      <c r="H65" s="199"/>
      <c r="I65" s="222"/>
      <c r="J65" s="196"/>
      <c r="K65" s="196"/>
      <c r="L65" s="196"/>
      <c r="M65" s="196"/>
      <c r="N65" s="193"/>
    </row>
    <row r="66" spans="1:14" x14ac:dyDescent="0.2">
      <c r="A66" s="210"/>
      <c r="B66" s="209"/>
      <c r="C66" s="197"/>
      <c r="D66" s="197"/>
      <c r="E66" s="197"/>
      <c r="F66" s="198"/>
      <c r="G66" s="199"/>
      <c r="H66" s="199"/>
      <c r="I66" s="222"/>
      <c r="J66" s="196"/>
      <c r="K66" s="196"/>
      <c r="L66" s="196"/>
      <c r="M66" s="196"/>
      <c r="N66" s="193"/>
    </row>
    <row r="67" spans="1:14" x14ac:dyDescent="0.2">
      <c r="A67" s="210"/>
      <c r="B67" s="209"/>
      <c r="C67" s="197"/>
      <c r="D67" s="197"/>
      <c r="E67" s="197"/>
      <c r="F67" s="198"/>
      <c r="G67" s="199"/>
      <c r="H67" s="199"/>
      <c r="I67" s="222"/>
      <c r="J67" s="196"/>
      <c r="K67" s="196"/>
      <c r="L67" s="196"/>
      <c r="M67" s="196"/>
      <c r="N67" s="193"/>
    </row>
    <row r="68" spans="1:14" x14ac:dyDescent="0.2">
      <c r="A68" s="210"/>
      <c r="B68" s="209"/>
      <c r="C68" s="197"/>
      <c r="D68" s="197"/>
      <c r="E68" s="197"/>
      <c r="F68" s="198"/>
      <c r="G68" s="199"/>
      <c r="H68" s="199"/>
      <c r="I68" s="222"/>
      <c r="J68" s="196"/>
      <c r="K68" s="196"/>
      <c r="L68" s="196"/>
      <c r="M68" s="196"/>
      <c r="N68" s="193"/>
    </row>
    <row r="69" spans="1:14" x14ac:dyDescent="0.2">
      <c r="A69" s="210"/>
      <c r="B69" s="209"/>
      <c r="C69" s="197"/>
      <c r="D69" s="197"/>
      <c r="E69" s="197"/>
      <c r="F69" s="198"/>
      <c r="G69" s="199"/>
      <c r="H69" s="199"/>
      <c r="I69" s="222"/>
      <c r="J69" s="196"/>
      <c r="K69" s="196"/>
      <c r="L69" s="196"/>
      <c r="M69" s="196"/>
      <c r="N69" s="193"/>
    </row>
    <row r="70" spans="1:14" x14ac:dyDescent="0.2">
      <c r="A70" s="210"/>
      <c r="B70" s="209"/>
      <c r="C70" s="197"/>
      <c r="D70" s="197"/>
      <c r="E70" s="197"/>
      <c r="F70" s="198"/>
      <c r="G70" s="199"/>
      <c r="H70" s="199"/>
      <c r="I70" s="222"/>
      <c r="J70" s="196"/>
      <c r="K70" s="196"/>
      <c r="L70" s="196"/>
      <c r="M70" s="196"/>
      <c r="N70" s="193"/>
    </row>
    <row r="71" spans="1:14" x14ac:dyDescent="0.2">
      <c r="A71" s="210"/>
      <c r="B71" s="209"/>
      <c r="C71" s="197"/>
      <c r="D71" s="197"/>
      <c r="E71" s="197"/>
      <c r="F71" s="198"/>
      <c r="G71" s="199"/>
      <c r="H71" s="199"/>
      <c r="I71" s="222"/>
      <c r="J71" s="196"/>
      <c r="K71" s="196"/>
      <c r="L71" s="196"/>
      <c r="M71" s="196"/>
      <c r="N71" s="193"/>
    </row>
    <row r="72" spans="1:14" x14ac:dyDescent="0.2">
      <c r="A72" s="210"/>
      <c r="B72" s="209"/>
      <c r="C72" s="197"/>
      <c r="D72" s="197"/>
      <c r="E72" s="197"/>
      <c r="F72" s="198"/>
      <c r="G72" s="199"/>
      <c r="H72" s="199"/>
      <c r="I72" s="222"/>
      <c r="J72" s="196"/>
      <c r="K72" s="196"/>
      <c r="L72" s="196"/>
      <c r="M72" s="196"/>
      <c r="N72" s="193"/>
    </row>
    <row r="73" spans="1:14" x14ac:dyDescent="0.2">
      <c r="A73" s="210"/>
      <c r="B73" s="209"/>
      <c r="C73" s="197"/>
      <c r="D73" s="197"/>
      <c r="E73" s="197"/>
      <c r="F73" s="198"/>
      <c r="G73" s="199"/>
      <c r="H73" s="199"/>
      <c r="I73" s="222"/>
      <c r="J73" s="196"/>
      <c r="K73" s="196"/>
      <c r="L73" s="196"/>
      <c r="M73" s="196"/>
      <c r="N73" s="193"/>
    </row>
    <row r="74" spans="1:14" x14ac:dyDescent="0.2">
      <c r="A74" s="210"/>
      <c r="B74" s="209"/>
      <c r="C74" s="197"/>
      <c r="D74" s="197"/>
      <c r="E74" s="197"/>
      <c r="F74" s="198"/>
      <c r="G74" s="199"/>
      <c r="H74" s="199"/>
      <c r="I74" s="222"/>
      <c r="J74" s="196"/>
      <c r="K74" s="196"/>
      <c r="L74" s="196"/>
      <c r="M74" s="196"/>
      <c r="N74" s="193"/>
    </row>
    <row r="75" spans="1:14" x14ac:dyDescent="0.2">
      <c r="A75" s="210"/>
      <c r="B75" s="209"/>
      <c r="C75" s="197"/>
      <c r="D75" s="197"/>
      <c r="E75" s="197"/>
      <c r="F75" s="198"/>
      <c r="G75" s="199"/>
      <c r="H75" s="199"/>
      <c r="I75" s="222"/>
      <c r="J75" s="196"/>
      <c r="K75" s="196"/>
      <c r="L75" s="196"/>
      <c r="M75" s="196"/>
      <c r="N75" s="193"/>
    </row>
    <row r="76" spans="1:14" x14ac:dyDescent="0.2">
      <c r="A76" s="210"/>
      <c r="B76" s="209"/>
      <c r="C76" s="197"/>
      <c r="D76" s="197"/>
      <c r="E76" s="197"/>
      <c r="F76" s="198"/>
      <c r="G76" s="199"/>
      <c r="H76" s="199"/>
      <c r="I76" s="222"/>
      <c r="J76" s="196"/>
      <c r="K76" s="196"/>
      <c r="L76" s="196"/>
      <c r="M76" s="196"/>
      <c r="N76" s="193"/>
    </row>
    <row r="77" spans="1:14" x14ac:dyDescent="0.2">
      <c r="A77" s="210"/>
      <c r="B77" s="209"/>
      <c r="C77" s="197"/>
      <c r="D77" s="197"/>
      <c r="E77" s="197"/>
      <c r="F77" s="198"/>
      <c r="G77" s="199"/>
      <c r="H77" s="199"/>
      <c r="I77" s="222"/>
      <c r="J77" s="196"/>
      <c r="K77" s="196"/>
      <c r="L77" s="196"/>
      <c r="M77" s="196"/>
      <c r="N77" s="193"/>
    </row>
    <row r="78" spans="1:14" x14ac:dyDescent="0.2">
      <c r="A78" s="210"/>
      <c r="B78" s="209"/>
      <c r="C78" s="197"/>
      <c r="D78" s="197"/>
      <c r="E78" s="197"/>
      <c r="F78" s="198"/>
      <c r="G78" s="199"/>
      <c r="H78" s="199"/>
      <c r="I78" s="222"/>
      <c r="J78" s="196"/>
      <c r="K78" s="196"/>
      <c r="L78" s="196"/>
      <c r="M78" s="196"/>
      <c r="N78" s="193"/>
    </row>
    <row r="79" spans="1:14" x14ac:dyDescent="0.2">
      <c r="A79" s="210"/>
      <c r="B79" s="209"/>
      <c r="C79" s="197"/>
      <c r="D79" s="197"/>
      <c r="E79" s="197"/>
      <c r="F79" s="198"/>
      <c r="G79" s="199"/>
      <c r="H79" s="199"/>
      <c r="I79" s="222"/>
      <c r="J79" s="196"/>
      <c r="K79" s="196"/>
      <c r="L79" s="196"/>
      <c r="M79" s="196"/>
      <c r="N79" s="193"/>
    </row>
    <row r="80" spans="1:14" x14ac:dyDescent="0.2">
      <c r="A80" s="210"/>
      <c r="B80" s="209"/>
      <c r="C80" s="197"/>
      <c r="D80" s="197"/>
      <c r="E80" s="197"/>
      <c r="F80" s="198"/>
      <c r="G80" s="199"/>
      <c r="H80" s="199"/>
      <c r="I80" s="222"/>
      <c r="J80" s="196"/>
      <c r="K80" s="196"/>
      <c r="L80" s="196"/>
      <c r="M80" s="196"/>
      <c r="N80" s="193"/>
    </row>
    <row r="81" spans="1:14" x14ac:dyDescent="0.2">
      <c r="A81" s="210"/>
      <c r="B81" s="209"/>
      <c r="C81" s="197"/>
      <c r="D81" s="197"/>
      <c r="E81" s="197"/>
      <c r="F81" s="198"/>
      <c r="G81" s="199"/>
      <c r="H81" s="199"/>
      <c r="I81" s="222"/>
      <c r="J81" s="196"/>
      <c r="K81" s="196"/>
      <c r="L81" s="196"/>
      <c r="M81" s="196"/>
      <c r="N81" s="193"/>
    </row>
    <row r="82" spans="1:14" x14ac:dyDescent="0.2">
      <c r="A82" s="210"/>
      <c r="B82" s="209"/>
      <c r="C82" s="197"/>
      <c r="D82" s="197"/>
      <c r="E82" s="197"/>
      <c r="F82" s="198"/>
      <c r="G82" s="199"/>
      <c r="H82" s="199"/>
      <c r="I82" s="222"/>
      <c r="J82" s="196"/>
      <c r="K82" s="196"/>
      <c r="L82" s="196"/>
      <c r="M82" s="196"/>
      <c r="N82" s="193"/>
    </row>
    <row r="83" spans="1:14" x14ac:dyDescent="0.2">
      <c r="A83" s="210"/>
      <c r="B83" s="209"/>
      <c r="C83" s="197"/>
      <c r="D83" s="197"/>
      <c r="E83" s="197"/>
      <c r="F83" s="198"/>
      <c r="G83" s="199"/>
      <c r="H83" s="199"/>
      <c r="I83" s="222"/>
      <c r="J83" s="196"/>
      <c r="K83" s="196"/>
      <c r="L83" s="196"/>
      <c r="M83" s="196"/>
      <c r="N83" s="193"/>
    </row>
    <row r="84" spans="1:14" x14ac:dyDescent="0.2">
      <c r="A84" s="210"/>
      <c r="B84" s="209"/>
      <c r="C84" s="197"/>
      <c r="D84" s="197"/>
      <c r="E84" s="197"/>
      <c r="F84" s="198"/>
      <c r="G84" s="199"/>
      <c r="H84" s="199"/>
      <c r="I84" s="222"/>
      <c r="J84" s="196"/>
      <c r="K84" s="196"/>
      <c r="L84" s="196"/>
      <c r="M84" s="196"/>
      <c r="N84" s="193"/>
    </row>
    <row r="85" spans="1:14" x14ac:dyDescent="0.2">
      <c r="A85" s="210"/>
      <c r="B85" s="209"/>
      <c r="C85" s="197"/>
      <c r="D85" s="197"/>
      <c r="E85" s="197"/>
      <c r="F85" s="198"/>
      <c r="G85" s="199"/>
      <c r="H85" s="199"/>
      <c r="I85" s="222"/>
      <c r="J85" s="196"/>
      <c r="K85" s="196"/>
      <c r="L85" s="196"/>
      <c r="M85" s="196"/>
      <c r="N85" s="193"/>
    </row>
    <row r="86" spans="1:14" x14ac:dyDescent="0.2">
      <c r="A86" s="210"/>
      <c r="B86" s="209"/>
      <c r="C86" s="197"/>
      <c r="D86" s="197"/>
      <c r="E86" s="197"/>
      <c r="F86" s="198"/>
      <c r="G86" s="199"/>
      <c r="H86" s="199"/>
      <c r="I86" s="222"/>
      <c r="J86" s="196"/>
      <c r="K86" s="196"/>
      <c r="L86" s="196"/>
      <c r="M86" s="196"/>
      <c r="N86" s="193"/>
    </row>
    <row r="87" spans="1:14" x14ac:dyDescent="0.2">
      <c r="A87" s="210"/>
      <c r="B87" s="209"/>
      <c r="C87" s="197"/>
      <c r="D87" s="197"/>
      <c r="E87" s="197"/>
      <c r="F87" s="198"/>
      <c r="G87" s="199"/>
      <c r="H87" s="199"/>
      <c r="I87" s="222"/>
      <c r="J87" s="196"/>
      <c r="K87" s="196"/>
      <c r="L87" s="196"/>
      <c r="M87" s="196"/>
      <c r="N87" s="193"/>
    </row>
    <row r="88" spans="1:14" x14ac:dyDescent="0.2">
      <c r="A88" s="210"/>
      <c r="B88" s="209"/>
      <c r="C88" s="197"/>
      <c r="D88" s="197"/>
      <c r="E88" s="197"/>
      <c r="F88" s="198"/>
      <c r="G88" s="199"/>
      <c r="H88" s="199"/>
      <c r="I88" s="222"/>
      <c r="J88" s="196"/>
      <c r="K88" s="196"/>
      <c r="L88" s="196"/>
      <c r="M88" s="196"/>
      <c r="N88" s="193"/>
    </row>
    <row r="89" spans="1:14" x14ac:dyDescent="0.2">
      <c r="A89" s="210"/>
      <c r="B89" s="209"/>
      <c r="C89" s="197"/>
      <c r="D89" s="197"/>
      <c r="E89" s="197"/>
      <c r="F89" s="198"/>
      <c r="G89" s="199"/>
      <c r="H89" s="199"/>
      <c r="I89" s="222"/>
      <c r="J89" s="196"/>
      <c r="K89" s="196"/>
      <c r="L89" s="196"/>
      <c r="M89" s="196"/>
      <c r="N89" s="193"/>
    </row>
    <row r="90" spans="1:14" x14ac:dyDescent="0.2">
      <c r="A90" s="210"/>
      <c r="B90" s="209"/>
      <c r="C90" s="197"/>
      <c r="D90" s="197"/>
      <c r="E90" s="197"/>
      <c r="F90" s="198"/>
      <c r="G90" s="199"/>
      <c r="H90" s="199"/>
      <c r="I90" s="222"/>
      <c r="J90" s="196"/>
      <c r="K90" s="196"/>
      <c r="L90" s="196"/>
      <c r="M90" s="196"/>
      <c r="N90" s="193"/>
    </row>
    <row r="91" spans="1:14" x14ac:dyDescent="0.2">
      <c r="A91" s="210"/>
      <c r="B91" s="209"/>
      <c r="C91" s="197"/>
      <c r="D91" s="197"/>
      <c r="E91" s="197"/>
      <c r="F91" s="198"/>
      <c r="G91" s="199"/>
      <c r="H91" s="199"/>
      <c r="I91" s="222"/>
      <c r="J91" s="196"/>
      <c r="K91" s="196"/>
      <c r="L91" s="196"/>
      <c r="M91" s="196"/>
      <c r="N91" s="193"/>
    </row>
    <row r="92" spans="1:14" x14ac:dyDescent="0.2">
      <c r="A92" s="210"/>
      <c r="B92" s="209"/>
      <c r="C92" s="197"/>
      <c r="D92" s="197"/>
      <c r="E92" s="197"/>
      <c r="F92" s="198"/>
      <c r="G92" s="199"/>
      <c r="H92" s="199"/>
      <c r="I92" s="222"/>
      <c r="J92" s="196"/>
      <c r="K92" s="196"/>
      <c r="L92" s="196"/>
      <c r="M92" s="196"/>
      <c r="N92" s="193"/>
    </row>
    <row r="93" spans="1:14" x14ac:dyDescent="0.2">
      <c r="A93" s="210"/>
      <c r="B93" s="209"/>
      <c r="C93" s="197"/>
      <c r="D93" s="197"/>
      <c r="E93" s="197"/>
      <c r="F93" s="198"/>
      <c r="G93" s="199"/>
      <c r="H93" s="199"/>
      <c r="I93" s="222"/>
      <c r="J93" s="196"/>
      <c r="K93" s="196"/>
      <c r="L93" s="196"/>
      <c r="M93" s="196"/>
      <c r="N93" s="193"/>
    </row>
    <row r="94" spans="1:14" x14ac:dyDescent="0.2">
      <c r="A94" s="210"/>
      <c r="B94" s="209"/>
      <c r="C94" s="197"/>
      <c r="D94" s="197"/>
      <c r="E94" s="197"/>
      <c r="F94" s="198"/>
      <c r="G94" s="199"/>
      <c r="H94" s="199"/>
      <c r="I94" s="222"/>
      <c r="J94" s="196"/>
      <c r="K94" s="196"/>
      <c r="L94" s="196"/>
      <c r="M94" s="196"/>
      <c r="N94" s="193"/>
    </row>
    <row r="95" spans="1:14" x14ac:dyDescent="0.2">
      <c r="A95" s="210"/>
      <c r="B95" s="209"/>
      <c r="C95" s="197"/>
      <c r="D95" s="197"/>
      <c r="E95" s="197"/>
      <c r="F95" s="198"/>
      <c r="G95" s="199"/>
      <c r="H95" s="199"/>
      <c r="I95" s="222"/>
      <c r="J95" s="196"/>
      <c r="K95" s="196"/>
      <c r="L95" s="196"/>
      <c r="M95" s="196"/>
      <c r="N95" s="193"/>
    </row>
    <row r="96" spans="1:14" x14ac:dyDescent="0.2">
      <c r="A96" s="210"/>
      <c r="B96" s="209"/>
      <c r="C96" s="197"/>
      <c r="D96" s="197"/>
      <c r="E96" s="197"/>
      <c r="F96" s="198"/>
      <c r="G96" s="199"/>
      <c r="H96" s="199"/>
      <c r="I96" s="222"/>
      <c r="J96" s="196"/>
      <c r="K96" s="196"/>
      <c r="L96" s="196"/>
      <c r="M96" s="196"/>
      <c r="N96" s="193"/>
    </row>
    <row r="97" spans="1:14" x14ac:dyDescent="0.2">
      <c r="A97" s="210"/>
      <c r="B97" s="209"/>
      <c r="C97" s="197"/>
      <c r="D97" s="197"/>
      <c r="E97" s="197"/>
      <c r="F97" s="198"/>
      <c r="G97" s="199"/>
      <c r="H97" s="199"/>
      <c r="I97" s="222"/>
      <c r="J97" s="196"/>
      <c r="K97" s="196"/>
      <c r="L97" s="196"/>
      <c r="M97" s="196"/>
      <c r="N97" s="193"/>
    </row>
    <row r="98" spans="1:14" x14ac:dyDescent="0.2">
      <c r="A98" s="210"/>
      <c r="B98" s="209"/>
      <c r="C98" s="197"/>
      <c r="D98" s="197"/>
      <c r="E98" s="197"/>
      <c r="F98" s="198"/>
      <c r="G98" s="199"/>
      <c r="H98" s="199"/>
      <c r="I98" s="222"/>
      <c r="J98" s="196"/>
      <c r="K98" s="196"/>
      <c r="L98" s="196"/>
      <c r="M98" s="196"/>
      <c r="N98" s="193"/>
    </row>
    <row r="99" spans="1:14" x14ac:dyDescent="0.2">
      <c r="A99" s="210"/>
      <c r="B99" s="209"/>
      <c r="C99" s="197"/>
      <c r="D99" s="197"/>
      <c r="E99" s="197"/>
      <c r="F99" s="198"/>
      <c r="G99" s="199"/>
      <c r="H99" s="199"/>
      <c r="I99" s="222"/>
      <c r="J99" s="196"/>
      <c r="K99" s="196"/>
      <c r="L99" s="196"/>
      <c r="M99" s="196"/>
      <c r="N99" s="193"/>
    </row>
    <row r="100" spans="1:14" x14ac:dyDescent="0.2">
      <c r="A100" s="210"/>
      <c r="B100" s="209"/>
      <c r="C100" s="197"/>
      <c r="D100" s="197"/>
      <c r="E100" s="197"/>
      <c r="F100" s="198"/>
      <c r="G100" s="199"/>
      <c r="H100" s="199"/>
      <c r="I100" s="222"/>
      <c r="J100" s="196"/>
      <c r="K100" s="196"/>
      <c r="L100" s="196"/>
      <c r="M100" s="196"/>
      <c r="N100" s="193"/>
    </row>
    <row r="101" spans="1:14" x14ac:dyDescent="0.2">
      <c r="A101" s="210"/>
      <c r="B101" s="209"/>
      <c r="C101" s="197"/>
      <c r="D101" s="197"/>
      <c r="E101" s="197"/>
      <c r="F101" s="198"/>
      <c r="G101" s="199"/>
      <c r="H101" s="199"/>
      <c r="I101" s="222"/>
      <c r="J101" s="196"/>
      <c r="K101" s="196"/>
      <c r="L101" s="196"/>
      <c r="M101" s="196"/>
      <c r="N101" s="193"/>
    </row>
    <row r="102" spans="1:14" x14ac:dyDescent="0.2">
      <c r="A102" s="210"/>
      <c r="B102" s="209"/>
      <c r="C102" s="197"/>
      <c r="D102" s="197"/>
      <c r="E102" s="197"/>
      <c r="F102" s="198"/>
      <c r="G102" s="199"/>
      <c r="H102" s="199"/>
      <c r="I102" s="222"/>
      <c r="J102" s="196"/>
      <c r="K102" s="196"/>
      <c r="L102" s="196"/>
      <c r="M102" s="196"/>
      <c r="N102" s="193"/>
    </row>
    <row r="103" spans="1:14" x14ac:dyDescent="0.2">
      <c r="A103" s="210"/>
      <c r="B103" s="209"/>
      <c r="C103" s="197"/>
      <c r="D103" s="197"/>
      <c r="E103" s="197"/>
      <c r="F103" s="198"/>
      <c r="G103" s="199"/>
      <c r="H103" s="199"/>
      <c r="I103" s="222"/>
      <c r="J103" s="196"/>
      <c r="K103" s="196"/>
      <c r="L103" s="196"/>
      <c r="M103" s="196"/>
      <c r="N103" s="193"/>
    </row>
    <row r="104" spans="1:14" x14ac:dyDescent="0.2">
      <c r="A104" s="210"/>
      <c r="B104" s="209"/>
      <c r="C104" s="197"/>
      <c r="D104" s="197"/>
      <c r="E104" s="197"/>
      <c r="F104" s="198"/>
      <c r="G104" s="199"/>
      <c r="H104" s="199"/>
      <c r="I104" s="222"/>
      <c r="J104" s="196"/>
      <c r="K104" s="196"/>
      <c r="L104" s="196"/>
      <c r="M104" s="196"/>
      <c r="N104" s="193"/>
    </row>
    <row r="105" spans="1:14" x14ac:dyDescent="0.2">
      <c r="A105" s="210"/>
      <c r="B105" s="209"/>
      <c r="C105" s="197"/>
      <c r="D105" s="197"/>
      <c r="E105" s="197"/>
      <c r="F105" s="198"/>
      <c r="G105" s="199"/>
      <c r="H105" s="199"/>
      <c r="I105" s="222"/>
      <c r="J105" s="196"/>
      <c r="K105" s="196"/>
      <c r="L105" s="196"/>
      <c r="M105" s="196"/>
      <c r="N105" s="193"/>
    </row>
    <row r="106" spans="1:14" x14ac:dyDescent="0.2">
      <c r="A106" s="210"/>
      <c r="B106" s="209"/>
      <c r="C106" s="197"/>
      <c r="D106" s="197"/>
      <c r="E106" s="197"/>
      <c r="F106" s="198"/>
      <c r="G106" s="199"/>
      <c r="H106" s="199"/>
      <c r="I106" s="222"/>
      <c r="J106" s="196"/>
      <c r="K106" s="196"/>
      <c r="L106" s="196"/>
      <c r="M106" s="196"/>
      <c r="N106" s="193"/>
    </row>
    <row r="107" spans="1:14" x14ac:dyDescent="0.2">
      <c r="A107" s="210"/>
      <c r="B107" s="209"/>
      <c r="C107" s="197"/>
      <c r="D107" s="197"/>
      <c r="E107" s="197"/>
      <c r="F107" s="198"/>
      <c r="G107" s="199"/>
      <c r="H107" s="199"/>
      <c r="I107" s="222"/>
      <c r="J107" s="196"/>
      <c r="K107" s="196"/>
      <c r="L107" s="196"/>
      <c r="M107" s="196"/>
      <c r="N107" s="193"/>
    </row>
    <row r="108" spans="1:14" x14ac:dyDescent="0.2">
      <c r="A108" s="210"/>
      <c r="B108" s="209"/>
      <c r="C108" s="197"/>
      <c r="D108" s="197"/>
      <c r="E108" s="197"/>
      <c r="F108" s="198"/>
      <c r="G108" s="199"/>
      <c r="H108" s="199"/>
      <c r="I108" s="222"/>
      <c r="J108" s="196"/>
      <c r="K108" s="196"/>
      <c r="L108" s="196"/>
      <c r="M108" s="196"/>
      <c r="N108" s="193"/>
    </row>
    <row r="109" spans="1:14" x14ac:dyDescent="0.2">
      <c r="A109" s="210"/>
      <c r="B109" s="209"/>
      <c r="C109" s="197"/>
      <c r="D109" s="197"/>
      <c r="E109" s="197"/>
      <c r="F109" s="198"/>
      <c r="G109" s="199"/>
      <c r="H109" s="199"/>
      <c r="I109" s="222"/>
      <c r="J109" s="196"/>
      <c r="K109" s="196"/>
      <c r="L109" s="196"/>
      <c r="M109" s="196"/>
      <c r="N109" s="193"/>
    </row>
    <row r="110" spans="1:14" x14ac:dyDescent="0.2">
      <c r="A110" s="210"/>
      <c r="B110" s="209"/>
      <c r="C110" s="197"/>
      <c r="D110" s="197"/>
      <c r="E110" s="197"/>
      <c r="F110" s="198"/>
      <c r="G110" s="199"/>
      <c r="H110" s="199"/>
      <c r="I110" s="222"/>
      <c r="J110" s="196"/>
      <c r="K110" s="196"/>
      <c r="L110" s="196"/>
      <c r="M110" s="196"/>
      <c r="N110" s="193"/>
    </row>
    <row r="111" spans="1:14" x14ac:dyDescent="0.2">
      <c r="A111" s="210"/>
      <c r="B111" s="209"/>
      <c r="C111" s="197"/>
      <c r="D111" s="197"/>
      <c r="E111" s="197"/>
      <c r="F111" s="198"/>
      <c r="G111" s="199"/>
      <c r="H111" s="199"/>
      <c r="I111" s="222"/>
      <c r="J111" s="196"/>
      <c r="K111" s="196"/>
      <c r="L111" s="196"/>
      <c r="M111" s="196"/>
      <c r="N111" s="193"/>
    </row>
    <row r="112" spans="1:14" x14ac:dyDescent="0.2">
      <c r="A112" s="210"/>
      <c r="B112" s="209"/>
      <c r="C112" s="197"/>
      <c r="D112" s="197"/>
      <c r="E112" s="197"/>
      <c r="F112" s="198"/>
      <c r="G112" s="199"/>
      <c r="H112" s="199"/>
      <c r="I112" s="222"/>
      <c r="J112" s="196"/>
      <c r="K112" s="196"/>
      <c r="L112" s="196"/>
      <c r="M112" s="196"/>
      <c r="N112" s="193"/>
    </row>
    <row r="113" spans="1:14" x14ac:dyDescent="0.2">
      <c r="A113" s="210"/>
      <c r="B113" s="209"/>
      <c r="C113" s="197"/>
      <c r="D113" s="197"/>
      <c r="E113" s="197"/>
      <c r="F113" s="198"/>
      <c r="G113" s="199"/>
      <c r="H113" s="199"/>
      <c r="I113" s="222"/>
      <c r="J113" s="196"/>
      <c r="K113" s="196"/>
      <c r="L113" s="196"/>
      <c r="M113" s="196"/>
      <c r="N113" s="193"/>
    </row>
    <row r="114" spans="1:14" x14ac:dyDescent="0.2">
      <c r="A114" s="210"/>
      <c r="B114" s="209"/>
      <c r="C114" s="197"/>
      <c r="D114" s="197"/>
      <c r="E114" s="197"/>
      <c r="F114" s="198"/>
      <c r="G114" s="199"/>
      <c r="H114" s="199"/>
      <c r="I114" s="222"/>
      <c r="J114" s="196"/>
      <c r="K114" s="196"/>
      <c r="L114" s="196"/>
      <c r="M114" s="196"/>
      <c r="N114" s="193"/>
    </row>
    <row r="115" spans="1:14" x14ac:dyDescent="0.2">
      <c r="A115" s="210"/>
      <c r="B115" s="209"/>
      <c r="C115" s="197"/>
      <c r="D115" s="197"/>
      <c r="E115" s="197"/>
      <c r="F115" s="198"/>
      <c r="G115" s="199"/>
      <c r="H115" s="199"/>
      <c r="I115" s="222"/>
      <c r="J115" s="196"/>
      <c r="K115" s="196"/>
      <c r="L115" s="196"/>
      <c r="M115" s="196"/>
      <c r="N115" s="193"/>
    </row>
    <row r="116" spans="1:14" x14ac:dyDescent="0.2">
      <c r="A116" s="210"/>
      <c r="B116" s="209"/>
      <c r="C116" s="197"/>
      <c r="D116" s="197"/>
      <c r="E116" s="197"/>
      <c r="F116" s="198"/>
      <c r="G116" s="199"/>
      <c r="H116" s="199"/>
      <c r="I116" s="222"/>
      <c r="J116" s="196"/>
      <c r="K116" s="196"/>
      <c r="L116" s="196"/>
      <c r="M116" s="196"/>
      <c r="N116" s="193"/>
    </row>
    <row r="117" spans="1:14" x14ac:dyDescent="0.2">
      <c r="A117" s="210"/>
      <c r="B117" s="209"/>
      <c r="C117" s="197"/>
      <c r="D117" s="197"/>
      <c r="E117" s="197"/>
      <c r="F117" s="198"/>
      <c r="G117" s="199"/>
      <c r="H117" s="199"/>
      <c r="I117" s="222"/>
      <c r="J117" s="196"/>
      <c r="K117" s="196"/>
      <c r="L117" s="196"/>
      <c r="M117" s="196"/>
      <c r="N117" s="193"/>
    </row>
    <row r="118" spans="1:14" x14ac:dyDescent="0.2">
      <c r="A118" s="210"/>
      <c r="B118" s="209"/>
      <c r="C118" s="197"/>
      <c r="D118" s="197"/>
      <c r="E118" s="197"/>
      <c r="F118" s="198"/>
      <c r="G118" s="199"/>
      <c r="H118" s="199"/>
      <c r="I118" s="222"/>
      <c r="J118" s="196"/>
      <c r="K118" s="196"/>
      <c r="L118" s="196"/>
      <c r="M118" s="196"/>
      <c r="N118" s="193"/>
    </row>
    <row r="119" spans="1:14" x14ac:dyDescent="0.2">
      <c r="A119" s="210"/>
      <c r="B119" s="209"/>
      <c r="C119" s="197"/>
      <c r="D119" s="197"/>
      <c r="E119" s="197"/>
      <c r="F119" s="198"/>
      <c r="G119" s="199"/>
      <c r="H119" s="199"/>
      <c r="I119" s="222"/>
      <c r="J119" s="196"/>
      <c r="K119" s="196"/>
      <c r="L119" s="196"/>
      <c r="M119" s="196"/>
      <c r="N119" s="193"/>
    </row>
    <row r="120" spans="1:14" x14ac:dyDescent="0.2">
      <c r="A120" s="210"/>
      <c r="B120" s="209"/>
      <c r="C120" s="197"/>
      <c r="D120" s="197"/>
      <c r="E120" s="197"/>
      <c r="F120" s="198"/>
      <c r="G120" s="199"/>
      <c r="H120" s="199"/>
      <c r="I120" s="222"/>
      <c r="J120" s="196"/>
      <c r="K120" s="196"/>
      <c r="L120" s="196"/>
      <c r="M120" s="196"/>
      <c r="N120" s="193"/>
    </row>
    <row r="121" spans="1:14" x14ac:dyDescent="0.2">
      <c r="A121" s="210"/>
      <c r="B121" s="209"/>
      <c r="C121" s="197"/>
      <c r="D121" s="197"/>
      <c r="E121" s="197"/>
      <c r="F121" s="198"/>
      <c r="G121" s="199"/>
      <c r="H121" s="199"/>
      <c r="I121" s="222"/>
      <c r="J121" s="196"/>
      <c r="K121" s="196"/>
      <c r="L121" s="196"/>
      <c r="M121" s="196"/>
      <c r="N121" s="193"/>
    </row>
    <row r="122" spans="1:14" x14ac:dyDescent="0.2">
      <c r="A122" s="210"/>
      <c r="B122" s="209"/>
      <c r="C122" s="197"/>
      <c r="D122" s="197"/>
      <c r="E122" s="197"/>
      <c r="F122" s="198"/>
      <c r="G122" s="199"/>
      <c r="H122" s="199"/>
      <c r="I122" s="222"/>
      <c r="J122" s="196"/>
      <c r="K122" s="196"/>
      <c r="L122" s="196"/>
      <c r="M122" s="196"/>
      <c r="N122" s="193"/>
    </row>
    <row r="123" spans="1:14" x14ac:dyDescent="0.2">
      <c r="A123" s="210"/>
      <c r="B123" s="209"/>
      <c r="C123" s="197"/>
      <c r="D123" s="197"/>
      <c r="E123" s="197"/>
      <c r="F123" s="198"/>
      <c r="G123" s="199"/>
      <c r="H123" s="199"/>
      <c r="I123" s="222"/>
      <c r="J123" s="196"/>
      <c r="K123" s="196"/>
      <c r="L123" s="196"/>
      <c r="M123" s="196"/>
      <c r="N123" s="193"/>
    </row>
    <row r="124" spans="1:14" x14ac:dyDescent="0.2">
      <c r="A124" s="210"/>
      <c r="B124" s="209"/>
      <c r="C124" s="197"/>
      <c r="D124" s="197"/>
      <c r="E124" s="197"/>
      <c r="F124" s="198"/>
      <c r="G124" s="199"/>
      <c r="H124" s="199"/>
      <c r="I124" s="222"/>
      <c r="J124" s="196"/>
      <c r="K124" s="196"/>
      <c r="L124" s="196"/>
      <c r="M124" s="196"/>
      <c r="N124" s="193"/>
    </row>
    <row r="125" spans="1:14" x14ac:dyDescent="0.2">
      <c r="A125" s="210"/>
      <c r="B125" s="209"/>
      <c r="C125" s="197"/>
      <c r="D125" s="197"/>
      <c r="E125" s="197"/>
      <c r="F125" s="198"/>
      <c r="G125" s="199"/>
      <c r="H125" s="199"/>
      <c r="I125" s="222"/>
      <c r="J125" s="196"/>
      <c r="K125" s="196"/>
      <c r="L125" s="196"/>
      <c r="M125" s="196"/>
      <c r="N125" s="193"/>
    </row>
    <row r="126" spans="1:14" x14ac:dyDescent="0.2">
      <c r="A126" s="210"/>
      <c r="B126" s="209"/>
      <c r="C126" s="197"/>
      <c r="D126" s="197"/>
      <c r="E126" s="197"/>
      <c r="F126" s="198"/>
      <c r="G126" s="199"/>
      <c r="H126" s="199"/>
      <c r="I126" s="222"/>
      <c r="J126" s="196"/>
      <c r="K126" s="196"/>
      <c r="L126" s="196"/>
      <c r="M126" s="196"/>
      <c r="N126" s="193"/>
    </row>
    <row r="127" spans="1:14" x14ac:dyDescent="0.2">
      <c r="A127" s="210"/>
      <c r="B127" s="209"/>
      <c r="C127" s="197"/>
      <c r="D127" s="197"/>
      <c r="E127" s="197"/>
      <c r="F127" s="198"/>
      <c r="G127" s="199"/>
      <c r="H127" s="199"/>
      <c r="I127" s="222"/>
      <c r="J127" s="196"/>
      <c r="K127" s="196"/>
      <c r="L127" s="196"/>
      <c r="M127" s="196"/>
      <c r="N127" s="193"/>
    </row>
    <row r="128" spans="1:14" x14ac:dyDescent="0.2">
      <c r="A128" s="210"/>
      <c r="B128" s="209"/>
      <c r="C128" s="197"/>
      <c r="D128" s="197"/>
      <c r="E128" s="197"/>
      <c r="F128" s="198"/>
      <c r="G128" s="199"/>
      <c r="H128" s="199"/>
      <c r="I128" s="222"/>
      <c r="J128" s="196"/>
      <c r="K128" s="196"/>
      <c r="L128" s="196"/>
      <c r="M128" s="196"/>
      <c r="N128" s="193"/>
    </row>
    <row r="129" spans="1:14" x14ac:dyDescent="0.2">
      <c r="A129" s="210"/>
      <c r="B129" s="209"/>
      <c r="C129" s="197"/>
      <c r="D129" s="197"/>
      <c r="E129" s="197"/>
      <c r="F129" s="198"/>
      <c r="G129" s="199"/>
      <c r="H129" s="199"/>
      <c r="I129" s="222"/>
      <c r="J129" s="196"/>
      <c r="K129" s="196"/>
      <c r="L129" s="196"/>
      <c r="M129" s="196"/>
      <c r="N129" s="193"/>
    </row>
    <row r="130" spans="1:14" x14ac:dyDescent="0.2">
      <c r="A130" s="210"/>
      <c r="B130" s="209"/>
      <c r="C130" s="197"/>
      <c r="D130" s="197"/>
      <c r="E130" s="197"/>
      <c r="F130" s="198"/>
      <c r="G130" s="199"/>
      <c r="H130" s="199"/>
      <c r="I130" s="222"/>
      <c r="J130" s="196"/>
      <c r="K130" s="196"/>
      <c r="L130" s="196"/>
      <c r="M130" s="196"/>
      <c r="N130" s="193"/>
    </row>
    <row r="131" spans="1:14" x14ac:dyDescent="0.2">
      <c r="A131" s="210"/>
      <c r="B131" s="209"/>
      <c r="C131" s="197"/>
      <c r="D131" s="197"/>
      <c r="E131" s="197"/>
      <c r="F131" s="198"/>
      <c r="G131" s="199"/>
      <c r="H131" s="199"/>
      <c r="I131" s="222"/>
      <c r="J131" s="196"/>
      <c r="K131" s="196"/>
      <c r="L131" s="196"/>
      <c r="M131" s="196"/>
      <c r="N131" s="193"/>
    </row>
    <row r="132" spans="1:14" x14ac:dyDescent="0.2">
      <c r="A132" s="210"/>
      <c r="B132" s="209"/>
      <c r="C132" s="197"/>
      <c r="D132" s="197"/>
      <c r="E132" s="197"/>
      <c r="F132" s="198"/>
      <c r="G132" s="199"/>
      <c r="H132" s="199"/>
      <c r="I132" s="222"/>
      <c r="J132" s="196"/>
      <c r="K132" s="196"/>
      <c r="L132" s="196"/>
      <c r="M132" s="196"/>
      <c r="N132" s="193"/>
    </row>
    <row r="133" spans="1:14" x14ac:dyDescent="0.2">
      <c r="A133" s="210"/>
      <c r="B133" s="209"/>
      <c r="C133" s="197"/>
      <c r="D133" s="197"/>
      <c r="E133" s="197"/>
      <c r="F133" s="198"/>
      <c r="G133" s="199"/>
      <c r="H133" s="199"/>
      <c r="I133" s="222"/>
      <c r="J133" s="196"/>
      <c r="K133" s="196"/>
      <c r="L133" s="196"/>
      <c r="M133" s="196"/>
      <c r="N133" s="193"/>
    </row>
    <row r="134" spans="1:14" x14ac:dyDescent="0.2">
      <c r="A134" s="210"/>
      <c r="B134" s="209"/>
      <c r="C134" s="197"/>
      <c r="D134" s="197"/>
      <c r="E134" s="197"/>
      <c r="F134" s="198"/>
      <c r="G134" s="199"/>
      <c r="H134" s="199"/>
      <c r="I134" s="222"/>
      <c r="J134" s="196"/>
      <c r="K134" s="196"/>
      <c r="L134" s="196"/>
      <c r="M134" s="196"/>
      <c r="N134" s="193"/>
    </row>
    <row r="135" spans="1:14" x14ac:dyDescent="0.2">
      <c r="A135" s="210"/>
      <c r="B135" s="209"/>
      <c r="C135" s="197"/>
      <c r="D135" s="197"/>
      <c r="E135" s="197"/>
      <c r="F135" s="198"/>
      <c r="G135" s="199"/>
      <c r="H135" s="199"/>
      <c r="I135" s="222"/>
      <c r="J135" s="196"/>
      <c r="K135" s="196"/>
      <c r="L135" s="196"/>
      <c r="M135" s="196"/>
      <c r="N135" s="193"/>
    </row>
    <row r="136" spans="1:14" x14ac:dyDescent="0.2">
      <c r="A136" s="210"/>
      <c r="B136" s="209"/>
      <c r="C136" s="197"/>
      <c r="D136" s="197"/>
      <c r="E136" s="197"/>
      <c r="F136" s="198"/>
      <c r="G136" s="199"/>
      <c r="H136" s="199"/>
      <c r="I136" s="222"/>
      <c r="J136" s="196"/>
      <c r="K136" s="196"/>
      <c r="L136" s="196"/>
      <c r="M136" s="196"/>
      <c r="N136" s="193"/>
    </row>
    <row r="137" spans="1:14" x14ac:dyDescent="0.2">
      <c r="A137" s="210"/>
      <c r="B137" s="209"/>
      <c r="C137" s="197"/>
      <c r="D137" s="197"/>
      <c r="E137" s="197"/>
      <c r="F137" s="198"/>
      <c r="G137" s="199"/>
      <c r="H137" s="199"/>
      <c r="I137" s="222"/>
      <c r="J137" s="196"/>
      <c r="K137" s="196"/>
      <c r="L137" s="196"/>
      <c r="M137" s="196"/>
      <c r="N137" s="193"/>
    </row>
    <row r="138" spans="1:14" x14ac:dyDescent="0.2">
      <c r="A138" s="210"/>
      <c r="B138" s="209"/>
      <c r="C138" s="197"/>
      <c r="D138" s="197"/>
      <c r="E138" s="197"/>
      <c r="F138" s="198"/>
      <c r="G138" s="199"/>
      <c r="H138" s="199"/>
      <c r="I138" s="222"/>
      <c r="J138" s="196"/>
      <c r="K138" s="196"/>
      <c r="L138" s="196"/>
      <c r="M138" s="196"/>
      <c r="N138" s="193"/>
    </row>
    <row r="139" spans="1:14" x14ac:dyDescent="0.2">
      <c r="A139" s="210"/>
      <c r="B139" s="209"/>
      <c r="C139" s="197"/>
      <c r="D139" s="197"/>
      <c r="E139" s="197"/>
      <c r="F139" s="198"/>
      <c r="G139" s="199"/>
      <c r="H139" s="199"/>
      <c r="I139" s="222"/>
      <c r="J139" s="196"/>
      <c r="K139" s="196"/>
      <c r="L139" s="196"/>
      <c r="M139" s="196"/>
      <c r="N139" s="193"/>
    </row>
    <row r="140" spans="1:14" x14ac:dyDescent="0.2">
      <c r="A140" s="210"/>
      <c r="B140" s="209"/>
      <c r="C140" s="197"/>
      <c r="D140" s="197"/>
      <c r="E140" s="197"/>
      <c r="F140" s="198"/>
      <c r="G140" s="199"/>
      <c r="H140" s="199"/>
      <c r="I140" s="222"/>
      <c r="J140" s="196"/>
      <c r="K140" s="196"/>
      <c r="L140" s="196"/>
      <c r="M140" s="196"/>
      <c r="N140" s="193"/>
    </row>
    <row r="141" spans="1:14" x14ac:dyDescent="0.2">
      <c r="A141" s="210"/>
      <c r="B141" s="209"/>
      <c r="C141" s="197"/>
      <c r="D141" s="197"/>
      <c r="E141" s="197"/>
      <c r="F141" s="198"/>
      <c r="G141" s="199"/>
      <c r="H141" s="199"/>
      <c r="I141" s="222"/>
      <c r="J141" s="196"/>
      <c r="K141" s="196"/>
      <c r="L141" s="196"/>
      <c r="M141" s="196"/>
      <c r="N141" s="193"/>
    </row>
    <row r="142" spans="1:14" x14ac:dyDescent="0.2">
      <c r="A142" s="210"/>
      <c r="B142" s="209"/>
      <c r="C142" s="197"/>
      <c r="D142" s="197"/>
      <c r="E142" s="197"/>
      <c r="F142" s="198"/>
      <c r="G142" s="199"/>
      <c r="H142" s="199"/>
      <c r="I142" s="222"/>
      <c r="J142" s="196"/>
      <c r="K142" s="196"/>
      <c r="L142" s="196"/>
      <c r="M142" s="196"/>
      <c r="N142" s="193"/>
    </row>
    <row r="143" spans="1:14" x14ac:dyDescent="0.2">
      <c r="A143" s="210"/>
      <c r="B143" s="209"/>
      <c r="C143" s="197"/>
      <c r="D143" s="197"/>
      <c r="E143" s="197"/>
      <c r="F143" s="198"/>
      <c r="G143" s="199"/>
      <c r="H143" s="199"/>
      <c r="I143" s="222"/>
      <c r="J143" s="196"/>
      <c r="K143" s="196"/>
      <c r="L143" s="196"/>
      <c r="M143" s="196"/>
      <c r="N143" s="193"/>
    </row>
    <row r="144" spans="1:14" x14ac:dyDescent="0.2">
      <c r="A144" s="210"/>
      <c r="B144" s="209"/>
      <c r="C144" s="197"/>
      <c r="D144" s="197"/>
      <c r="E144" s="197"/>
      <c r="F144" s="198"/>
      <c r="G144" s="199"/>
      <c r="H144" s="199"/>
      <c r="I144" s="222"/>
      <c r="J144" s="196"/>
      <c r="K144" s="196"/>
      <c r="L144" s="196"/>
      <c r="M144" s="196"/>
      <c r="N144" s="193"/>
    </row>
    <row r="145" spans="1:14" x14ac:dyDescent="0.2">
      <c r="A145" s="210"/>
      <c r="B145" s="209"/>
      <c r="C145" s="197"/>
      <c r="D145" s="197"/>
      <c r="E145" s="197"/>
      <c r="F145" s="198"/>
      <c r="G145" s="199"/>
      <c r="H145" s="199"/>
      <c r="I145" s="222"/>
      <c r="J145" s="196"/>
      <c r="K145" s="196"/>
      <c r="L145" s="196"/>
      <c r="M145" s="196"/>
      <c r="N145" s="193"/>
    </row>
    <row r="146" spans="1:14" x14ac:dyDescent="0.2">
      <c r="A146" s="210"/>
      <c r="B146" s="209"/>
      <c r="C146" s="197"/>
      <c r="D146" s="197"/>
      <c r="E146" s="197"/>
      <c r="F146" s="198"/>
      <c r="G146" s="199"/>
      <c r="H146" s="199"/>
      <c r="I146" s="222"/>
      <c r="J146" s="196"/>
      <c r="K146" s="196"/>
      <c r="L146" s="196"/>
      <c r="M146" s="196"/>
      <c r="N146" s="193"/>
    </row>
    <row r="147" spans="1:14" x14ac:dyDescent="0.2">
      <c r="A147" s="210"/>
      <c r="B147" s="209"/>
      <c r="C147" s="197"/>
      <c r="D147" s="197"/>
      <c r="E147" s="197"/>
      <c r="F147" s="198"/>
      <c r="G147" s="199"/>
      <c r="H147" s="199"/>
      <c r="I147" s="222"/>
      <c r="J147" s="196"/>
      <c r="K147" s="196"/>
      <c r="L147" s="196"/>
      <c r="M147" s="196"/>
      <c r="N147" s="193"/>
    </row>
    <row r="148" spans="1:14" x14ac:dyDescent="0.2">
      <c r="A148" s="210"/>
      <c r="B148" s="209"/>
      <c r="C148" s="197"/>
      <c r="D148" s="197"/>
      <c r="E148" s="197"/>
      <c r="F148" s="198"/>
      <c r="G148" s="199"/>
      <c r="H148" s="199"/>
      <c r="I148" s="222"/>
      <c r="J148" s="196"/>
      <c r="K148" s="196"/>
      <c r="L148" s="196"/>
      <c r="M148" s="196"/>
      <c r="N148" s="193"/>
    </row>
    <row r="149" spans="1:14" x14ac:dyDescent="0.2">
      <c r="A149" s="210"/>
      <c r="B149" s="209"/>
      <c r="C149" s="197"/>
      <c r="D149" s="197"/>
      <c r="E149" s="197"/>
      <c r="F149" s="198"/>
      <c r="G149" s="199"/>
      <c r="H149" s="199"/>
      <c r="I149" s="222"/>
      <c r="J149" s="196"/>
      <c r="K149" s="196"/>
      <c r="L149" s="196"/>
      <c r="M149" s="196"/>
      <c r="N149" s="193"/>
    </row>
    <row r="150" spans="1:14" x14ac:dyDescent="0.2">
      <c r="A150" s="210"/>
      <c r="B150" s="209"/>
      <c r="C150" s="197"/>
      <c r="D150" s="197"/>
      <c r="E150" s="197"/>
      <c r="F150" s="198"/>
      <c r="G150" s="199"/>
      <c r="H150" s="199"/>
      <c r="I150" s="222"/>
      <c r="J150" s="196"/>
      <c r="K150" s="196"/>
      <c r="L150" s="196"/>
      <c r="M150" s="196"/>
      <c r="N150" s="193"/>
    </row>
    <row r="151" spans="1:14" x14ac:dyDescent="0.2">
      <c r="A151" s="210"/>
      <c r="B151" s="209"/>
      <c r="C151" s="197"/>
      <c r="D151" s="197"/>
      <c r="E151" s="197"/>
      <c r="F151" s="198"/>
      <c r="G151" s="199"/>
      <c r="H151" s="199"/>
      <c r="I151" s="222"/>
      <c r="J151" s="196"/>
      <c r="K151" s="196"/>
      <c r="L151" s="196"/>
      <c r="M151" s="196"/>
      <c r="N151" s="193"/>
    </row>
    <row r="152" spans="1:14" x14ac:dyDescent="0.2">
      <c r="A152" s="210"/>
      <c r="B152" s="209"/>
      <c r="C152" s="197"/>
      <c r="D152" s="197"/>
      <c r="E152" s="197"/>
      <c r="F152" s="198"/>
      <c r="G152" s="199"/>
      <c r="H152" s="199"/>
      <c r="I152" s="222"/>
      <c r="J152" s="196"/>
      <c r="K152" s="196"/>
      <c r="L152" s="196"/>
      <c r="M152" s="196"/>
      <c r="N152" s="193"/>
    </row>
    <row r="153" spans="1:14" x14ac:dyDescent="0.2">
      <c r="A153" s="210"/>
      <c r="B153" s="209"/>
      <c r="C153" s="197"/>
      <c r="D153" s="197"/>
      <c r="E153" s="197"/>
      <c r="F153" s="198"/>
      <c r="G153" s="199"/>
      <c r="H153" s="199"/>
      <c r="I153" s="222"/>
      <c r="J153" s="196"/>
      <c r="K153" s="196"/>
      <c r="L153" s="196"/>
      <c r="M153" s="196"/>
      <c r="N153" s="193"/>
    </row>
    <row r="154" spans="1:14" x14ac:dyDescent="0.2">
      <c r="A154" s="210"/>
      <c r="B154" s="209"/>
      <c r="C154" s="197"/>
      <c r="D154" s="197"/>
      <c r="E154" s="197"/>
      <c r="F154" s="198"/>
      <c r="G154" s="199"/>
      <c r="H154" s="199"/>
      <c r="I154" s="222"/>
      <c r="J154" s="196"/>
      <c r="K154" s="196"/>
      <c r="L154" s="196"/>
      <c r="M154" s="196"/>
      <c r="N154" s="193"/>
    </row>
    <row r="155" spans="1:14" x14ac:dyDescent="0.2">
      <c r="A155" s="210"/>
      <c r="B155" s="209"/>
      <c r="C155" s="197"/>
      <c r="D155" s="197"/>
      <c r="E155" s="197"/>
      <c r="F155" s="198"/>
      <c r="G155" s="199"/>
      <c r="H155" s="199"/>
      <c r="I155" s="222"/>
      <c r="J155" s="196"/>
      <c r="K155" s="196"/>
      <c r="L155" s="196"/>
      <c r="M155" s="196"/>
      <c r="N155" s="193"/>
    </row>
    <row r="156" spans="1:14" x14ac:dyDescent="0.2">
      <c r="A156" s="210"/>
      <c r="B156" s="209"/>
      <c r="C156" s="197"/>
      <c r="D156" s="197"/>
      <c r="E156" s="197"/>
      <c r="F156" s="198"/>
      <c r="G156" s="199"/>
      <c r="H156" s="199"/>
      <c r="I156" s="222"/>
      <c r="J156" s="196"/>
      <c r="K156" s="196"/>
      <c r="L156" s="196"/>
      <c r="M156" s="196"/>
      <c r="N156" s="193"/>
    </row>
    <row r="157" spans="1:14" x14ac:dyDescent="0.2">
      <c r="A157" s="210"/>
      <c r="B157" s="209"/>
      <c r="C157" s="197"/>
      <c r="D157" s="197"/>
      <c r="E157" s="197"/>
      <c r="F157" s="198"/>
      <c r="G157" s="199"/>
      <c r="H157" s="199"/>
      <c r="I157" s="222"/>
      <c r="J157" s="196"/>
      <c r="K157" s="196"/>
      <c r="L157" s="196"/>
      <c r="M157" s="196"/>
      <c r="N157" s="193"/>
    </row>
    <row r="158" spans="1:14" x14ac:dyDescent="0.2">
      <c r="A158" s="210"/>
      <c r="B158" s="209"/>
      <c r="C158" s="197"/>
      <c r="D158" s="197"/>
      <c r="E158" s="197"/>
      <c r="F158" s="198"/>
      <c r="G158" s="199"/>
      <c r="H158" s="199"/>
      <c r="I158" s="222"/>
      <c r="J158" s="196"/>
      <c r="K158" s="196"/>
      <c r="L158" s="196"/>
      <c r="M158" s="196"/>
      <c r="N158" s="193"/>
    </row>
    <row r="159" spans="1:14" x14ac:dyDescent="0.2">
      <c r="A159" s="210"/>
      <c r="B159" s="209"/>
      <c r="C159" s="197"/>
      <c r="D159" s="197"/>
      <c r="E159" s="197"/>
      <c r="F159" s="198"/>
      <c r="G159" s="199"/>
      <c r="H159" s="199"/>
      <c r="I159" s="222"/>
      <c r="J159" s="196"/>
      <c r="K159" s="196"/>
      <c r="L159" s="196"/>
      <c r="M159" s="196"/>
      <c r="N159" s="193"/>
    </row>
    <row r="160" spans="1:14" x14ac:dyDescent="0.2">
      <c r="A160" s="210"/>
      <c r="B160" s="209"/>
      <c r="C160" s="197"/>
      <c r="D160" s="197"/>
      <c r="E160" s="197"/>
      <c r="F160" s="198"/>
      <c r="G160" s="199"/>
      <c r="H160" s="199"/>
      <c r="I160" s="222"/>
      <c r="J160" s="196"/>
      <c r="K160" s="196"/>
      <c r="L160" s="196"/>
      <c r="M160" s="196"/>
      <c r="N160" s="193"/>
    </row>
    <row r="161" spans="1:14" x14ac:dyDescent="0.2">
      <c r="A161" s="210"/>
      <c r="B161" s="209"/>
      <c r="C161" s="197"/>
      <c r="D161" s="197"/>
      <c r="E161" s="197"/>
      <c r="F161" s="198"/>
      <c r="G161" s="199"/>
      <c r="H161" s="199"/>
      <c r="I161" s="222"/>
      <c r="J161" s="196"/>
      <c r="K161" s="196"/>
      <c r="L161" s="196"/>
      <c r="M161" s="196"/>
      <c r="N161" s="193"/>
    </row>
    <row r="162" spans="1:14" x14ac:dyDescent="0.2">
      <c r="A162" s="210"/>
      <c r="B162" s="209"/>
      <c r="C162" s="197"/>
      <c r="D162" s="197"/>
      <c r="E162" s="197"/>
      <c r="F162" s="198"/>
      <c r="G162" s="199"/>
      <c r="H162" s="199"/>
      <c r="I162" s="222"/>
      <c r="J162" s="196"/>
      <c r="K162" s="196"/>
      <c r="L162" s="196"/>
      <c r="M162" s="196"/>
      <c r="N162" s="193"/>
    </row>
    <row r="163" spans="1:14" x14ac:dyDescent="0.2">
      <c r="A163" s="210"/>
      <c r="B163" s="209"/>
      <c r="C163" s="197"/>
      <c r="D163" s="197"/>
      <c r="E163" s="197"/>
      <c r="F163" s="198"/>
      <c r="G163" s="199"/>
      <c r="H163" s="199"/>
      <c r="I163" s="222"/>
      <c r="J163" s="196"/>
      <c r="K163" s="196"/>
      <c r="L163" s="196"/>
      <c r="M163" s="196"/>
      <c r="N163" s="193"/>
    </row>
    <row r="164" spans="1:14" x14ac:dyDescent="0.2">
      <c r="A164" s="210"/>
      <c r="B164" s="209"/>
      <c r="C164" s="197"/>
      <c r="D164" s="197"/>
      <c r="E164" s="197"/>
      <c r="F164" s="198"/>
      <c r="G164" s="199"/>
      <c r="H164" s="199"/>
      <c r="I164" s="222"/>
      <c r="J164" s="196"/>
      <c r="K164" s="196"/>
      <c r="L164" s="196"/>
      <c r="M164" s="196"/>
      <c r="N164" s="193"/>
    </row>
    <row r="165" spans="1:14" x14ac:dyDescent="0.2">
      <c r="A165" s="210"/>
      <c r="B165" s="209"/>
      <c r="C165" s="197"/>
      <c r="D165" s="197"/>
      <c r="E165" s="197"/>
      <c r="F165" s="198"/>
      <c r="G165" s="199"/>
      <c r="H165" s="199"/>
      <c r="I165" s="222"/>
      <c r="J165" s="196"/>
      <c r="K165" s="196"/>
      <c r="L165" s="196"/>
      <c r="M165" s="196"/>
      <c r="N165" s="193"/>
    </row>
    <row r="166" spans="1:14" x14ac:dyDescent="0.2">
      <c r="A166" s="210"/>
      <c r="B166" s="209"/>
      <c r="C166" s="197"/>
      <c r="D166" s="197"/>
      <c r="E166" s="197"/>
      <c r="F166" s="198"/>
      <c r="G166" s="199"/>
      <c r="H166" s="199"/>
      <c r="I166" s="222"/>
      <c r="J166" s="196"/>
      <c r="K166" s="196"/>
      <c r="L166" s="196"/>
      <c r="M166" s="196"/>
      <c r="N166" s="193"/>
    </row>
    <row r="167" spans="1:14" x14ac:dyDescent="0.2">
      <c r="A167" s="210"/>
      <c r="B167" s="209"/>
      <c r="C167" s="197"/>
      <c r="D167" s="197"/>
      <c r="E167" s="197"/>
      <c r="F167" s="198"/>
      <c r="G167" s="199"/>
      <c r="H167" s="199"/>
      <c r="I167" s="222"/>
      <c r="J167" s="196"/>
      <c r="K167" s="196"/>
      <c r="L167" s="196"/>
      <c r="M167" s="196"/>
      <c r="N167" s="193"/>
    </row>
    <row r="168" spans="1:14" x14ac:dyDescent="0.2">
      <c r="A168" s="210"/>
      <c r="B168" s="209"/>
      <c r="C168" s="197"/>
      <c r="D168" s="197"/>
      <c r="E168" s="197"/>
      <c r="F168" s="198"/>
      <c r="G168" s="199"/>
      <c r="H168" s="199"/>
      <c r="I168" s="222"/>
      <c r="J168" s="196"/>
      <c r="K168" s="196"/>
      <c r="L168" s="196"/>
      <c r="M168" s="196"/>
      <c r="N168" s="193"/>
    </row>
    <row r="169" spans="1:14" x14ac:dyDescent="0.2">
      <c r="A169" s="210"/>
      <c r="B169" s="209"/>
      <c r="C169" s="197"/>
      <c r="D169" s="197"/>
      <c r="E169" s="197"/>
      <c r="F169" s="198"/>
      <c r="G169" s="199"/>
      <c r="H169" s="199"/>
      <c r="I169" s="222"/>
      <c r="J169" s="196"/>
      <c r="K169" s="196"/>
      <c r="L169" s="196"/>
      <c r="M169" s="196"/>
      <c r="N169" s="193"/>
    </row>
    <row r="170" spans="1:14" x14ac:dyDescent="0.2">
      <c r="A170" s="210"/>
      <c r="B170" s="209"/>
      <c r="C170" s="197"/>
      <c r="D170" s="197"/>
      <c r="E170" s="197"/>
      <c r="F170" s="198"/>
      <c r="G170" s="199"/>
      <c r="H170" s="199"/>
      <c r="I170" s="222"/>
      <c r="J170" s="196"/>
      <c r="K170" s="196"/>
      <c r="L170" s="196"/>
      <c r="M170" s="196"/>
      <c r="N170" s="193"/>
    </row>
    <row r="171" spans="1:14" x14ac:dyDescent="0.2">
      <c r="A171" s="210"/>
      <c r="B171" s="209"/>
      <c r="C171" s="197"/>
      <c r="D171" s="197"/>
      <c r="E171" s="197"/>
      <c r="F171" s="198"/>
      <c r="G171" s="199"/>
      <c r="H171" s="199"/>
      <c r="I171" s="222"/>
      <c r="J171" s="196"/>
      <c r="K171" s="196"/>
      <c r="L171" s="196"/>
      <c r="M171" s="196"/>
      <c r="N171" s="193"/>
    </row>
    <row r="172" spans="1:14" x14ac:dyDescent="0.2">
      <c r="A172" s="210"/>
      <c r="B172" s="209"/>
      <c r="C172" s="197"/>
      <c r="D172" s="197"/>
      <c r="E172" s="197"/>
      <c r="F172" s="198"/>
      <c r="G172" s="199"/>
      <c r="H172" s="199"/>
      <c r="I172" s="222"/>
      <c r="J172" s="196"/>
      <c r="K172" s="196"/>
      <c r="L172" s="196"/>
      <c r="M172" s="196"/>
      <c r="N172" s="193"/>
    </row>
    <row r="173" spans="1:14" x14ac:dyDescent="0.2">
      <c r="A173" s="210"/>
      <c r="B173" s="209"/>
      <c r="C173" s="197"/>
      <c r="D173" s="197"/>
      <c r="E173" s="197"/>
      <c r="F173" s="198"/>
      <c r="G173" s="199"/>
      <c r="H173" s="199"/>
      <c r="I173" s="222"/>
      <c r="J173" s="196"/>
      <c r="K173" s="196"/>
      <c r="L173" s="196"/>
      <c r="M173" s="196"/>
      <c r="N173" s="193"/>
    </row>
    <row r="174" spans="1:14" x14ac:dyDescent="0.2">
      <c r="A174" s="210"/>
      <c r="B174" s="209"/>
      <c r="C174" s="197"/>
      <c r="D174" s="197"/>
      <c r="E174" s="197"/>
      <c r="F174" s="198"/>
      <c r="G174" s="199"/>
      <c r="H174" s="199"/>
      <c r="I174" s="222"/>
      <c r="J174" s="196"/>
      <c r="K174" s="196"/>
      <c r="L174" s="196"/>
      <c r="M174" s="196"/>
      <c r="N174" s="193"/>
    </row>
    <row r="175" spans="1:14" x14ac:dyDescent="0.2">
      <c r="A175" s="210"/>
      <c r="B175" s="209"/>
      <c r="C175" s="197"/>
      <c r="D175" s="197"/>
      <c r="E175" s="197"/>
      <c r="F175" s="198"/>
      <c r="G175" s="199"/>
      <c r="H175" s="199"/>
      <c r="I175" s="222"/>
      <c r="J175" s="196"/>
      <c r="K175" s="196"/>
      <c r="L175" s="196"/>
      <c r="M175" s="196"/>
      <c r="N175" s="193"/>
    </row>
    <row r="176" spans="1:14" x14ac:dyDescent="0.2">
      <c r="A176" s="210"/>
      <c r="B176" s="209"/>
      <c r="C176" s="197"/>
      <c r="D176" s="197"/>
      <c r="E176" s="197"/>
      <c r="F176" s="198"/>
      <c r="G176" s="199"/>
      <c r="H176" s="199"/>
      <c r="I176" s="222"/>
      <c r="J176" s="196"/>
      <c r="K176" s="196"/>
      <c r="L176" s="196"/>
      <c r="M176" s="196"/>
      <c r="N176" s="193"/>
    </row>
    <row r="177" spans="1:14" x14ac:dyDescent="0.2">
      <c r="A177" s="210"/>
      <c r="B177" s="209"/>
      <c r="C177" s="197"/>
      <c r="D177" s="197"/>
      <c r="E177" s="197"/>
      <c r="F177" s="198"/>
      <c r="G177" s="199"/>
      <c r="H177" s="199"/>
      <c r="I177" s="222"/>
      <c r="J177" s="196"/>
      <c r="K177" s="196"/>
      <c r="L177" s="196"/>
      <c r="M177" s="196"/>
      <c r="N177" s="193"/>
    </row>
    <row r="178" spans="1:14" x14ac:dyDescent="0.2">
      <c r="A178" s="210"/>
      <c r="B178" s="209"/>
      <c r="C178" s="197"/>
      <c r="D178" s="197"/>
      <c r="E178" s="197"/>
      <c r="F178" s="198"/>
      <c r="G178" s="199"/>
      <c r="H178" s="199"/>
      <c r="I178" s="222"/>
      <c r="J178" s="196"/>
      <c r="K178" s="196"/>
      <c r="L178" s="196"/>
      <c r="M178" s="196"/>
      <c r="N178" s="193"/>
    </row>
    <row r="179" spans="1:14" x14ac:dyDescent="0.2">
      <c r="A179" s="210"/>
      <c r="B179" s="209"/>
      <c r="C179" s="197"/>
      <c r="D179" s="197"/>
      <c r="E179" s="197"/>
      <c r="F179" s="198"/>
      <c r="G179" s="199"/>
      <c r="H179" s="199"/>
      <c r="I179" s="222"/>
      <c r="J179" s="196"/>
      <c r="K179" s="196"/>
      <c r="L179" s="196"/>
      <c r="M179" s="196"/>
      <c r="N179" s="193"/>
    </row>
    <row r="180" spans="1:14" x14ac:dyDescent="0.2">
      <c r="A180" s="210"/>
      <c r="B180" s="209"/>
      <c r="C180" s="197"/>
      <c r="D180" s="197"/>
      <c r="E180" s="197"/>
      <c r="F180" s="198"/>
      <c r="G180" s="199"/>
      <c r="H180" s="199"/>
      <c r="I180" s="222"/>
      <c r="J180" s="196"/>
      <c r="K180" s="196"/>
      <c r="L180" s="196"/>
      <c r="M180" s="196"/>
      <c r="N180" s="193"/>
    </row>
    <row r="181" spans="1:14" x14ac:dyDescent="0.2">
      <c r="A181" s="210"/>
      <c r="B181" s="209"/>
      <c r="C181" s="197"/>
      <c r="D181" s="197"/>
      <c r="E181" s="197"/>
      <c r="F181" s="198"/>
      <c r="G181" s="199"/>
      <c r="H181" s="199"/>
      <c r="I181" s="222"/>
      <c r="J181" s="196"/>
      <c r="K181" s="196"/>
      <c r="L181" s="196"/>
      <c r="M181" s="196"/>
      <c r="N181" s="193"/>
    </row>
    <row r="182" spans="1:14" x14ac:dyDescent="0.2">
      <c r="A182" s="210"/>
      <c r="B182" s="209"/>
      <c r="C182" s="197"/>
      <c r="D182" s="197"/>
      <c r="E182" s="197"/>
      <c r="F182" s="198"/>
      <c r="G182" s="199"/>
      <c r="H182" s="199"/>
      <c r="I182" s="222"/>
      <c r="J182" s="196"/>
      <c r="K182" s="196"/>
      <c r="L182" s="196"/>
      <c r="M182" s="196"/>
      <c r="N182" s="193"/>
    </row>
    <row r="183" spans="1:14" x14ac:dyDescent="0.2">
      <c r="A183" s="210"/>
      <c r="B183" s="209"/>
      <c r="C183" s="197"/>
      <c r="D183" s="197"/>
      <c r="E183" s="197"/>
      <c r="F183" s="198"/>
      <c r="G183" s="199"/>
      <c r="H183" s="199"/>
      <c r="I183" s="222"/>
      <c r="J183" s="196"/>
      <c r="K183" s="196"/>
      <c r="L183" s="196"/>
      <c r="M183" s="196"/>
      <c r="N183" s="193"/>
    </row>
    <row r="184" spans="1:14" x14ac:dyDescent="0.2">
      <c r="A184" s="210"/>
      <c r="B184" s="209"/>
      <c r="C184" s="197"/>
      <c r="D184" s="197"/>
      <c r="E184" s="197"/>
      <c r="F184" s="198"/>
      <c r="G184" s="199"/>
      <c r="H184" s="199"/>
      <c r="I184" s="222"/>
      <c r="J184" s="196"/>
      <c r="K184" s="196"/>
      <c r="L184" s="196"/>
      <c r="M184" s="196"/>
      <c r="N184" s="193"/>
    </row>
    <row r="185" spans="1:14" x14ac:dyDescent="0.2">
      <c r="A185" s="210"/>
      <c r="B185" s="209"/>
      <c r="C185" s="197"/>
      <c r="D185" s="197"/>
      <c r="E185" s="197"/>
      <c r="F185" s="198"/>
      <c r="G185" s="199"/>
      <c r="H185" s="199"/>
      <c r="I185" s="222"/>
      <c r="J185" s="196"/>
      <c r="K185" s="196"/>
      <c r="L185" s="196"/>
      <c r="M185" s="196"/>
      <c r="N185" s="193"/>
    </row>
    <row r="186" spans="1:14" x14ac:dyDescent="0.2">
      <c r="A186" s="210"/>
      <c r="B186" s="209"/>
      <c r="C186" s="197"/>
      <c r="D186" s="197"/>
      <c r="E186" s="197"/>
      <c r="F186" s="198"/>
      <c r="G186" s="199"/>
      <c r="H186" s="199"/>
      <c r="I186" s="222"/>
      <c r="J186" s="196"/>
      <c r="K186" s="196"/>
      <c r="L186" s="196"/>
      <c r="M186" s="196"/>
      <c r="N186" s="193"/>
    </row>
    <row r="187" spans="1:14" x14ac:dyDescent="0.2">
      <c r="A187" s="210"/>
      <c r="B187" s="209"/>
      <c r="C187" s="197"/>
      <c r="D187" s="197"/>
      <c r="E187" s="197"/>
      <c r="F187" s="198"/>
      <c r="G187" s="199"/>
      <c r="H187" s="199"/>
      <c r="I187" s="222"/>
      <c r="J187" s="196"/>
      <c r="K187" s="196"/>
      <c r="L187" s="196"/>
      <c r="M187" s="196"/>
      <c r="N187" s="193"/>
    </row>
    <row r="188" spans="1:14" x14ac:dyDescent="0.2">
      <c r="A188" s="210"/>
      <c r="B188" s="209"/>
      <c r="C188" s="197"/>
      <c r="D188" s="197"/>
      <c r="E188" s="197"/>
      <c r="F188" s="198"/>
      <c r="G188" s="199"/>
      <c r="H188" s="199"/>
      <c r="I188" s="222"/>
      <c r="J188" s="196"/>
      <c r="K188" s="196"/>
      <c r="L188" s="196"/>
      <c r="M188" s="196"/>
      <c r="N188" s="193"/>
    </row>
    <row r="189" spans="1:14" x14ac:dyDescent="0.2">
      <c r="A189" s="210"/>
      <c r="B189" s="209"/>
      <c r="C189" s="197"/>
      <c r="D189" s="197"/>
      <c r="E189" s="197"/>
      <c r="F189" s="198"/>
      <c r="G189" s="199"/>
      <c r="H189" s="199"/>
      <c r="I189" s="222"/>
      <c r="J189" s="196"/>
      <c r="K189" s="196"/>
      <c r="L189" s="196"/>
      <c r="M189" s="196"/>
      <c r="N189" s="193"/>
    </row>
  </sheetData>
  <sheetProtection insertColumns="0" insertRows="0" insertHyperlinks="0" deleteColumns="0" deleteRows="0" sort="0" autoFilter="0" pivotTables="0"/>
  <mergeCells count="4">
    <mergeCell ref="A1:N1"/>
    <mergeCell ref="A2:F2"/>
    <mergeCell ref="I2:M2"/>
    <mergeCell ref="J3:K3"/>
  </mergeCells>
  <conditionalFormatting sqref="F6:G9 I6:N9 D30:D189 C20:C27 B15:C19 B27 I15:N189 F15:G189 B28:C189 B6:C9">
    <cfRule type="expression" dxfId="16" priority="8" stopIfTrue="1">
      <formula>IF($A6&lt;&gt;"",IF(B6="",TRUE,FALSE),FALSE)</formula>
    </cfRule>
  </conditionalFormatting>
  <conditionalFormatting sqref="B10:B13 B21:B24 I10:N14 F10:G14 C10:C14">
    <cfRule type="expression" dxfId="15" priority="7" stopIfTrue="1">
      <formula>IF($A10&lt;&gt;"",IF(B10="",TRUE,FALSE),FALSE)</formula>
    </cfRule>
  </conditionalFormatting>
  <conditionalFormatting sqref="H3:H4">
    <cfRule type="cellIs" dxfId="14" priority="5" stopIfTrue="1" operator="equal">
      <formula>"y"</formula>
    </cfRule>
    <cfRule type="cellIs" dxfId="13" priority="6" stopIfTrue="1" operator="equal">
      <formula>"Y"</formula>
    </cfRule>
  </conditionalFormatting>
  <dataValidations count="3">
    <dataValidation type="list" allowBlank="1" showInputMessage="1" showErrorMessage="1" sqref="F6:F65542">
      <formula1>$R$1:$R$3</formula1>
    </dataValidation>
    <dataValidation type="list" allowBlank="1" showInputMessage="1" showErrorMessage="1" sqref="G5:H65542">
      <formula1>$R$1:$R$2</formula1>
    </dataValidation>
    <dataValidation type="list" allowBlank="1" showInputMessage="1" showErrorMessage="1" sqref="D30:D189">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workbookViewId="0">
      <pane xSplit="5" ySplit="4" topLeftCell="F32" activePane="bottomRight" state="frozen"/>
      <selection pane="topRight" activeCell="E1" sqref="E1"/>
      <selection pane="bottomLeft" activeCell="A5" sqref="A5"/>
      <selection pane="bottomRight" activeCell="O55" sqref="O55"/>
    </sheetView>
  </sheetViews>
  <sheetFormatPr defaultRowHeight="12.75" x14ac:dyDescent="0.2"/>
  <cols>
    <col min="1" max="1" width="36" style="2" customWidth="1"/>
    <col min="2" max="2" width="26.140625" style="1" customWidth="1"/>
    <col min="3" max="3" width="6.42578125" style="41" bestFit="1" customWidth="1"/>
    <col min="4" max="4" width="7" style="41" bestFit="1" customWidth="1"/>
    <col min="5" max="5" width="21.7109375" style="42"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2" customFormat="1" ht="29.25" customHeight="1" thickBot="1" x14ac:dyDescent="0.25">
      <c r="A1" s="340" t="str">
        <f>'Change Log'!A1:D1</f>
        <v>Digitial Column Position Sensor I2C - Rev 9</v>
      </c>
      <c r="B1" s="341"/>
      <c r="C1" s="341"/>
      <c r="D1" s="341"/>
      <c r="E1" s="341"/>
    </row>
    <row r="2" spans="1:79" ht="13.5" customHeight="1" thickBot="1" x14ac:dyDescent="0.25">
      <c r="A2" s="342" t="s">
        <v>14</v>
      </c>
      <c r="B2" s="343"/>
      <c r="C2" s="79"/>
      <c r="D2" s="79"/>
      <c r="E2" s="59" t="s">
        <v>84</v>
      </c>
      <c r="F2" s="344" t="s">
        <v>12</v>
      </c>
      <c r="G2" s="345"/>
      <c r="H2" s="345"/>
      <c r="I2" s="345"/>
      <c r="J2" s="345"/>
      <c r="K2" s="345"/>
      <c r="L2" s="345"/>
      <c r="M2" s="345"/>
      <c r="N2" s="345"/>
      <c r="O2" s="345"/>
      <c r="P2" s="345"/>
      <c r="Q2" s="345"/>
      <c r="R2" s="345"/>
      <c r="S2" s="345"/>
      <c r="T2" s="345"/>
      <c r="U2" s="345"/>
      <c r="V2" s="345"/>
      <c r="W2" s="345"/>
      <c r="X2" s="345"/>
      <c r="Y2" s="345"/>
      <c r="Z2" s="345"/>
      <c r="AA2" s="345"/>
      <c r="AB2" s="345"/>
      <c r="AC2" s="345"/>
      <c r="AD2" s="345"/>
      <c r="AE2" s="345"/>
      <c r="AF2" s="345"/>
      <c r="AG2" s="345"/>
      <c r="AH2" s="345"/>
      <c r="AI2" s="345"/>
      <c r="AJ2" s="345"/>
      <c r="AK2" s="345"/>
      <c r="AL2" s="345"/>
      <c r="AM2" s="345"/>
      <c r="AN2" s="345"/>
      <c r="AO2" s="345"/>
      <c r="AP2" s="345"/>
      <c r="AQ2" s="345"/>
      <c r="AR2" s="345"/>
      <c r="AS2" s="345"/>
      <c r="AT2" s="345"/>
      <c r="AU2" s="345"/>
      <c r="AV2" s="345"/>
      <c r="AW2" s="345"/>
      <c r="AX2" s="345"/>
      <c r="AY2" s="345"/>
      <c r="AZ2" s="345"/>
      <c r="BA2" s="345"/>
      <c r="BB2" s="345"/>
      <c r="BC2" s="345"/>
      <c r="BD2" s="345"/>
      <c r="BE2" s="345"/>
      <c r="BF2" s="345"/>
      <c r="BG2" s="345"/>
      <c r="BH2" s="345"/>
      <c r="BI2" s="345"/>
      <c r="BJ2" s="345"/>
      <c r="BK2" s="345"/>
      <c r="BL2" s="345"/>
      <c r="BM2" s="345"/>
      <c r="BN2" s="345"/>
      <c r="BO2" s="345"/>
      <c r="BP2" s="345"/>
      <c r="BQ2" s="345"/>
      <c r="BR2" s="345"/>
      <c r="BS2" s="345"/>
      <c r="BT2" s="345"/>
      <c r="BU2" s="345"/>
      <c r="BV2" s="345"/>
      <c r="BW2" s="345"/>
      <c r="BX2" s="345"/>
      <c r="BY2" s="345"/>
      <c r="BZ2" s="346"/>
      <c r="CA2" s="112"/>
    </row>
    <row r="3" spans="1:79" s="36" customFormat="1" ht="13.5" customHeight="1" thickBot="1" x14ac:dyDescent="0.25">
      <c r="A3" s="33"/>
      <c r="B3" s="34"/>
      <c r="C3" s="81"/>
      <c r="D3" s="81"/>
      <c r="E3" s="35"/>
      <c r="F3" s="347" t="s">
        <v>55</v>
      </c>
      <c r="G3" s="348"/>
      <c r="H3" s="348"/>
      <c r="I3" s="348"/>
      <c r="J3" s="348"/>
      <c r="K3" s="348"/>
      <c r="L3" s="348"/>
      <c r="M3" s="348"/>
      <c r="N3" s="348"/>
      <c r="O3" s="348"/>
      <c r="P3" s="348"/>
      <c r="Q3" s="348"/>
      <c r="R3" s="348"/>
      <c r="S3" s="348"/>
      <c r="T3" s="348"/>
      <c r="U3" s="348"/>
      <c r="V3" s="348"/>
      <c r="W3" s="348"/>
      <c r="X3" s="348"/>
      <c r="Y3" s="348"/>
      <c r="Z3" s="348"/>
      <c r="AA3" s="348"/>
      <c r="AB3" s="348"/>
      <c r="AC3" s="348"/>
      <c r="AD3" s="348"/>
      <c r="AE3" s="348"/>
      <c r="AF3" s="348"/>
      <c r="AG3" s="348"/>
      <c r="AH3" s="348"/>
      <c r="AI3" s="348"/>
      <c r="AJ3" s="348"/>
      <c r="AK3" s="348"/>
      <c r="AL3" s="349"/>
      <c r="AM3" s="350" t="s">
        <v>79</v>
      </c>
      <c r="AN3" s="351"/>
      <c r="AO3" s="351"/>
      <c r="AP3" s="351"/>
      <c r="AQ3" s="351"/>
      <c r="AR3" s="351"/>
      <c r="AS3" s="351"/>
      <c r="AT3" s="351"/>
      <c r="AU3" s="351"/>
      <c r="AV3" s="351"/>
      <c r="AW3" s="351"/>
      <c r="AX3" s="351"/>
      <c r="AY3" s="351"/>
      <c r="AZ3" s="351"/>
      <c r="BA3" s="351"/>
      <c r="BB3" s="351"/>
      <c r="BC3" s="351"/>
      <c r="BD3" s="351"/>
      <c r="BE3" s="351"/>
      <c r="BF3" s="351"/>
      <c r="BG3" s="352"/>
      <c r="BH3" s="353" t="s">
        <v>58</v>
      </c>
      <c r="BI3" s="354"/>
      <c r="BJ3" s="354"/>
      <c r="BK3" s="354"/>
      <c r="BL3" s="354"/>
      <c r="BM3" s="354"/>
      <c r="BN3" s="354"/>
      <c r="BO3" s="354"/>
      <c r="BP3" s="355"/>
      <c r="BQ3" s="356" t="s">
        <v>80</v>
      </c>
      <c r="BR3" s="357"/>
      <c r="BS3" s="357"/>
      <c r="BT3" s="357"/>
      <c r="BU3" s="357"/>
      <c r="BV3" s="357"/>
      <c r="BW3" s="357"/>
      <c r="BX3" s="357"/>
      <c r="BY3" s="357"/>
      <c r="BZ3" s="358"/>
      <c r="CA3" s="113"/>
    </row>
    <row r="4" spans="1:79" s="36" customFormat="1" ht="201.75" customHeight="1" thickBot="1" x14ac:dyDescent="0.25">
      <c r="A4" s="37" t="s">
        <v>86</v>
      </c>
      <c r="B4" s="38" t="s">
        <v>57</v>
      </c>
      <c r="C4" s="80" t="s">
        <v>104</v>
      </c>
      <c r="D4" s="80" t="s">
        <v>90</v>
      </c>
      <c r="E4" s="39" t="s">
        <v>131</v>
      </c>
      <c r="F4" s="114" t="s">
        <v>20</v>
      </c>
      <c r="G4" s="115" t="s">
        <v>21</v>
      </c>
      <c r="H4" s="115" t="s">
        <v>22</v>
      </c>
      <c r="I4" s="115" t="s">
        <v>95</v>
      </c>
      <c r="J4" s="115" t="s">
        <v>112</v>
      </c>
      <c r="K4" s="115" t="s">
        <v>113</v>
      </c>
      <c r="L4" s="115" t="s">
        <v>114</v>
      </c>
      <c r="M4" s="115" t="s">
        <v>115</v>
      </c>
      <c r="N4" s="115" t="s">
        <v>116</v>
      </c>
      <c r="O4" s="115" t="s">
        <v>117</v>
      </c>
      <c r="P4" s="115" t="s">
        <v>118</v>
      </c>
      <c r="Q4" s="115" t="s">
        <v>119</v>
      </c>
      <c r="R4" s="115" t="s">
        <v>23</v>
      </c>
      <c r="S4" s="115" t="s">
        <v>24</v>
      </c>
      <c r="T4" s="115" t="s">
        <v>25</v>
      </c>
      <c r="U4" s="115" t="s">
        <v>26</v>
      </c>
      <c r="V4" s="115" t="s">
        <v>27</v>
      </c>
      <c r="W4" s="115" t="s">
        <v>28</v>
      </c>
      <c r="X4" s="115" t="s">
        <v>29</v>
      </c>
      <c r="Y4" s="115" t="s">
        <v>10</v>
      </c>
      <c r="Z4" s="115" t="s">
        <v>30</v>
      </c>
      <c r="AA4" s="115" t="s">
        <v>31</v>
      </c>
      <c r="AB4" s="115" t="s">
        <v>32</v>
      </c>
      <c r="AC4" s="115" t="s">
        <v>33</v>
      </c>
      <c r="AD4" s="115" t="s">
        <v>34</v>
      </c>
      <c r="AE4" s="115" t="s">
        <v>35</v>
      </c>
      <c r="AF4" s="115" t="s">
        <v>36</v>
      </c>
      <c r="AG4" s="115" t="s">
        <v>37</v>
      </c>
      <c r="AH4" s="115" t="s">
        <v>38</v>
      </c>
      <c r="AI4" s="115" t="s">
        <v>39</v>
      </c>
      <c r="AJ4" s="115" t="s">
        <v>40</v>
      </c>
      <c r="AK4" s="115" t="s">
        <v>41</v>
      </c>
      <c r="AL4" s="115" t="s">
        <v>13</v>
      </c>
      <c r="AM4" s="115" t="s">
        <v>42</v>
      </c>
      <c r="AN4" s="115" t="s">
        <v>43</v>
      </c>
      <c r="AO4" s="115" t="s">
        <v>44</v>
      </c>
      <c r="AP4" s="115" t="s">
        <v>45</v>
      </c>
      <c r="AQ4" s="115" t="s">
        <v>46</v>
      </c>
      <c r="AR4" s="115" t="s">
        <v>72</v>
      </c>
      <c r="AS4" s="115" t="s">
        <v>73</v>
      </c>
      <c r="AT4" s="115" t="s">
        <v>74</v>
      </c>
      <c r="AU4" s="115" t="s">
        <v>75</v>
      </c>
      <c r="AV4" s="115" t="s">
        <v>76</v>
      </c>
      <c r="AW4" s="115" t="s">
        <v>77</v>
      </c>
      <c r="AX4" s="115" t="s">
        <v>87</v>
      </c>
      <c r="AY4" s="115" t="s">
        <v>11</v>
      </c>
      <c r="AZ4" s="115" t="s">
        <v>88</v>
      </c>
      <c r="BA4" s="115" t="s">
        <v>130</v>
      </c>
      <c r="BB4" s="115" t="s">
        <v>89</v>
      </c>
      <c r="BC4" s="115" t="s">
        <v>59</v>
      </c>
      <c r="BD4" s="115" t="s">
        <v>60</v>
      </c>
      <c r="BE4" s="115" t="s">
        <v>61</v>
      </c>
      <c r="BF4" s="115" t="s">
        <v>62</v>
      </c>
      <c r="BG4" s="115" t="s">
        <v>63</v>
      </c>
      <c r="BH4" s="115" t="s">
        <v>64</v>
      </c>
      <c r="BI4" s="115" t="s">
        <v>65</v>
      </c>
      <c r="BJ4" s="115" t="s">
        <v>66</v>
      </c>
      <c r="BK4" s="115" t="s">
        <v>67</v>
      </c>
      <c r="BL4" s="115" t="s">
        <v>68</v>
      </c>
      <c r="BM4" s="115" t="s">
        <v>69</v>
      </c>
      <c r="BN4" s="115" t="s">
        <v>70</v>
      </c>
      <c r="BO4" s="115" t="s">
        <v>71</v>
      </c>
      <c r="BP4" s="115" t="s">
        <v>96</v>
      </c>
      <c r="BQ4" s="115" t="s">
        <v>97</v>
      </c>
      <c r="BR4" s="115" t="s">
        <v>98</v>
      </c>
      <c r="BS4" s="115" t="s">
        <v>99</v>
      </c>
      <c r="BT4" s="115" t="s">
        <v>100</v>
      </c>
      <c r="BU4" s="115" t="s">
        <v>101</v>
      </c>
      <c r="BV4" s="115" t="s">
        <v>102</v>
      </c>
      <c r="BW4" s="115" t="s">
        <v>108</v>
      </c>
      <c r="BX4" s="115" t="s">
        <v>109</v>
      </c>
      <c r="BY4" s="115" t="s">
        <v>110</v>
      </c>
      <c r="BZ4" s="126" t="s">
        <v>111</v>
      </c>
    </row>
    <row r="5" spans="1:79" s="36" customFormat="1" x14ac:dyDescent="0.2">
      <c r="A5" s="57"/>
      <c r="B5" s="44"/>
      <c r="C5" s="82"/>
      <c r="D5" s="82"/>
      <c r="E5" s="61"/>
      <c r="F5" s="67"/>
      <c r="G5" s="68"/>
      <c r="H5" s="68"/>
      <c r="I5" s="68"/>
      <c r="J5" s="68"/>
      <c r="K5" s="68"/>
      <c r="L5" s="68"/>
      <c r="M5" s="68"/>
      <c r="N5" s="68"/>
      <c r="O5" s="68"/>
      <c r="P5" s="68"/>
      <c r="Q5" s="68"/>
      <c r="R5" s="68"/>
      <c r="S5" s="68"/>
      <c r="T5" s="68"/>
      <c r="U5" s="68"/>
      <c r="V5" s="68"/>
      <c r="W5" s="68"/>
      <c r="X5" s="68"/>
      <c r="Y5" s="68"/>
      <c r="Z5" s="68"/>
      <c r="AA5" s="68"/>
      <c r="AB5" s="68"/>
      <c r="AC5" s="68"/>
      <c r="AD5" s="68"/>
      <c r="AE5" s="68"/>
      <c r="AF5" s="68"/>
      <c r="AG5" s="68"/>
      <c r="AH5" s="68"/>
      <c r="AI5" s="68"/>
      <c r="AJ5" s="68"/>
      <c r="AK5" s="68"/>
      <c r="AL5" s="68"/>
      <c r="AM5" s="68"/>
      <c r="AN5" s="68"/>
      <c r="AO5" s="68"/>
      <c r="AP5" s="68"/>
      <c r="AQ5" s="68"/>
      <c r="AR5" s="68"/>
      <c r="AS5" s="68"/>
      <c r="AT5" s="68"/>
      <c r="AU5" s="68"/>
      <c r="AV5" s="68"/>
      <c r="AW5" s="68"/>
      <c r="AX5" s="68"/>
      <c r="AY5" s="68"/>
      <c r="AZ5" s="68"/>
      <c r="BA5" s="68"/>
      <c r="BB5" s="68"/>
      <c r="BC5" s="68"/>
      <c r="BD5" s="68"/>
      <c r="BE5" s="68"/>
      <c r="BF5" s="68"/>
      <c r="BG5" s="68"/>
      <c r="BH5" s="68"/>
      <c r="BI5" s="68"/>
      <c r="BJ5" s="68"/>
      <c r="BK5" s="68"/>
      <c r="BL5" s="68"/>
      <c r="BM5" s="68"/>
      <c r="BN5" s="68"/>
      <c r="BO5" s="68"/>
      <c r="BP5" s="68"/>
      <c r="BQ5" s="68"/>
      <c r="BR5" s="68"/>
      <c r="BS5" s="68"/>
      <c r="BT5" s="68"/>
      <c r="BU5" s="68"/>
      <c r="BV5" s="68"/>
      <c r="BW5" s="68"/>
      <c r="BX5" s="68"/>
      <c r="BY5" s="68"/>
      <c r="BZ5" s="69"/>
    </row>
    <row r="6" spans="1:79" s="36" customFormat="1" x14ac:dyDescent="0.2">
      <c r="A6" s="43"/>
      <c r="B6" s="44"/>
      <c r="C6" s="82"/>
      <c r="D6" s="82"/>
      <c r="E6" s="61"/>
      <c r="F6" s="49"/>
      <c r="G6" s="50"/>
      <c r="H6" s="50"/>
      <c r="I6" s="50"/>
      <c r="J6" s="50"/>
      <c r="K6" s="50"/>
      <c r="L6" s="50"/>
      <c r="M6" s="50"/>
      <c r="N6" s="50"/>
      <c r="O6" s="50"/>
      <c r="P6" s="50"/>
      <c r="Q6" s="50"/>
      <c r="R6" s="50"/>
      <c r="S6" s="50"/>
      <c r="T6" s="50"/>
      <c r="U6" s="50"/>
      <c r="V6" s="50"/>
      <c r="W6" s="50"/>
      <c r="X6" s="50"/>
      <c r="Y6" s="50"/>
      <c r="Z6" s="50"/>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c r="BQ6" s="50"/>
      <c r="BR6" s="50"/>
      <c r="BS6" s="50"/>
      <c r="BT6" s="50"/>
      <c r="BU6" s="50"/>
      <c r="BV6" s="50"/>
      <c r="BW6" s="50"/>
      <c r="BX6" s="50"/>
      <c r="BY6" s="50"/>
      <c r="BZ6" s="51"/>
    </row>
    <row r="7" spans="1:79" x14ac:dyDescent="0.2">
      <c r="A7" s="48"/>
      <c r="B7" s="44"/>
      <c r="C7" s="82"/>
      <c r="D7" s="82"/>
      <c r="E7" s="61"/>
      <c r="F7" s="49"/>
      <c r="G7" s="50"/>
      <c r="H7" s="50"/>
      <c r="I7" s="50"/>
      <c r="J7" s="50"/>
      <c r="K7" s="50"/>
      <c r="L7" s="50"/>
      <c r="M7" s="50"/>
      <c r="N7" s="50"/>
      <c r="O7" s="50"/>
      <c r="P7" s="50"/>
      <c r="Q7" s="50"/>
      <c r="R7" s="50"/>
      <c r="S7" s="50"/>
      <c r="T7" s="50"/>
      <c r="U7" s="50"/>
      <c r="V7" s="50"/>
      <c r="W7" s="50"/>
      <c r="X7" s="50"/>
      <c r="Y7" s="50"/>
      <c r="Z7" s="50"/>
      <c r="AA7" s="50"/>
      <c r="AB7" s="50"/>
      <c r="AC7" s="50"/>
      <c r="AD7" s="50"/>
      <c r="AE7" s="50"/>
      <c r="AF7" s="50"/>
      <c r="AG7" s="50"/>
      <c r="AH7" s="50"/>
      <c r="AI7" s="50"/>
      <c r="AJ7" s="50"/>
      <c r="AK7" s="50"/>
      <c r="AL7" s="50"/>
      <c r="AM7" s="50"/>
      <c r="AN7" s="50"/>
      <c r="AO7" s="50"/>
      <c r="AP7" s="50"/>
      <c r="AQ7" s="50"/>
      <c r="AR7" s="50"/>
      <c r="AS7" s="50"/>
      <c r="AT7" s="50"/>
      <c r="AU7" s="50"/>
      <c r="AV7" s="50"/>
      <c r="AW7" s="50"/>
      <c r="AX7" s="50"/>
      <c r="AY7" s="50"/>
      <c r="AZ7" s="50"/>
      <c r="BA7" s="50"/>
      <c r="BB7" s="50"/>
      <c r="BC7" s="50"/>
      <c r="BD7" s="50"/>
      <c r="BE7" s="50"/>
      <c r="BF7" s="50"/>
      <c r="BG7" s="50"/>
      <c r="BH7" s="50"/>
      <c r="BI7" s="50"/>
      <c r="BJ7" s="50"/>
      <c r="BK7" s="50"/>
      <c r="BL7" s="50"/>
      <c r="BM7" s="50"/>
      <c r="BN7" s="50"/>
      <c r="BO7" s="50"/>
      <c r="BP7" s="50"/>
      <c r="BQ7" s="50"/>
      <c r="BR7" s="50"/>
      <c r="BS7" s="50"/>
      <c r="BT7" s="50"/>
      <c r="BU7" s="50"/>
      <c r="BV7" s="50"/>
      <c r="BW7" s="50"/>
      <c r="BX7" s="50"/>
      <c r="BY7" s="50"/>
      <c r="BZ7" s="51"/>
    </row>
    <row r="8" spans="1:79" x14ac:dyDescent="0.2">
      <c r="A8" s="52"/>
      <c r="B8" s="44"/>
      <c r="C8" s="82"/>
      <c r="D8" s="82"/>
      <c r="E8" s="61"/>
      <c r="F8" s="49"/>
      <c r="G8" s="50"/>
      <c r="H8" s="50"/>
      <c r="I8" s="50"/>
      <c r="J8" s="50"/>
      <c r="K8" s="50"/>
      <c r="L8" s="50"/>
      <c r="M8" s="50"/>
      <c r="N8" s="50"/>
      <c r="O8" s="50"/>
      <c r="P8" s="50"/>
      <c r="Q8" s="50"/>
      <c r="R8" s="50"/>
      <c r="S8" s="50"/>
      <c r="T8" s="50"/>
      <c r="U8" s="50"/>
      <c r="V8" s="50"/>
      <c r="W8" s="50"/>
      <c r="X8" s="50"/>
      <c r="Y8" s="50"/>
      <c r="Z8" s="50"/>
      <c r="AA8" s="50"/>
      <c r="AB8" s="50"/>
      <c r="AC8" s="50"/>
      <c r="AD8" s="50"/>
      <c r="AE8" s="50"/>
      <c r="AF8" s="50"/>
      <c r="AG8" s="50"/>
      <c r="AH8" s="50"/>
      <c r="AI8" s="50"/>
      <c r="AJ8" s="50"/>
      <c r="AK8" s="50"/>
      <c r="AL8" s="50"/>
      <c r="AM8" s="50"/>
      <c r="AN8" s="50"/>
      <c r="AO8" s="50"/>
      <c r="AP8" s="50"/>
      <c r="AQ8" s="50"/>
      <c r="AR8" s="50"/>
      <c r="AS8" s="50"/>
      <c r="AT8" s="50"/>
      <c r="AU8" s="50"/>
      <c r="AV8" s="50"/>
      <c r="AW8" s="50"/>
      <c r="AX8" s="50"/>
      <c r="AY8" s="50"/>
      <c r="AZ8" s="50"/>
      <c r="BA8" s="50"/>
      <c r="BB8" s="50"/>
      <c r="BC8" s="50"/>
      <c r="BD8" s="50"/>
      <c r="BE8" s="50"/>
      <c r="BF8" s="50"/>
      <c r="BG8" s="50"/>
      <c r="BH8" s="50"/>
      <c r="BI8" s="50"/>
      <c r="BJ8" s="50"/>
      <c r="BK8" s="50"/>
      <c r="BL8" s="50"/>
      <c r="BM8" s="50"/>
      <c r="BN8" s="50"/>
      <c r="BO8" s="50"/>
      <c r="BP8" s="50"/>
      <c r="BQ8" s="50"/>
      <c r="BR8" s="50"/>
      <c r="BS8" s="50"/>
      <c r="BT8" s="50"/>
      <c r="BU8" s="50"/>
      <c r="BV8" s="50"/>
      <c r="BW8" s="50"/>
      <c r="BX8" s="50"/>
      <c r="BY8" s="50"/>
      <c r="BZ8" s="51"/>
    </row>
    <row r="9" spans="1:79" x14ac:dyDescent="0.2">
      <c r="A9" s="48"/>
      <c r="B9" s="44"/>
      <c r="C9" s="82"/>
      <c r="D9" s="82"/>
      <c r="E9" s="61"/>
      <c r="F9" s="45"/>
      <c r="G9" s="46"/>
      <c r="H9" s="46"/>
      <c r="I9" s="46"/>
      <c r="J9" s="46"/>
      <c r="K9" s="46"/>
      <c r="L9" s="46"/>
      <c r="M9" s="46"/>
      <c r="N9" s="46"/>
      <c r="O9" s="46"/>
      <c r="P9" s="46"/>
      <c r="Q9" s="46"/>
      <c r="R9" s="46"/>
      <c r="S9" s="46"/>
      <c r="T9" s="46"/>
      <c r="U9" s="46"/>
      <c r="V9" s="46"/>
      <c r="W9" s="46"/>
      <c r="X9" s="46"/>
      <c r="Y9" s="46"/>
      <c r="Z9" s="46"/>
      <c r="AA9" s="46"/>
      <c r="AB9" s="46"/>
      <c r="AC9" s="46"/>
      <c r="AD9" s="46"/>
      <c r="AE9" s="46"/>
      <c r="AF9" s="46"/>
      <c r="AG9" s="46"/>
      <c r="AH9" s="46"/>
      <c r="AI9" s="46"/>
      <c r="AJ9" s="46"/>
      <c r="AK9" s="46"/>
      <c r="AL9" s="46"/>
      <c r="AM9" s="46"/>
      <c r="AN9" s="46"/>
      <c r="AO9" s="46"/>
      <c r="AP9" s="46"/>
      <c r="AQ9" s="46"/>
      <c r="AR9" s="46"/>
      <c r="AS9" s="46"/>
      <c r="AT9" s="46"/>
      <c r="AU9" s="46"/>
      <c r="AV9" s="46"/>
      <c r="AW9" s="46"/>
      <c r="AX9" s="46"/>
      <c r="AY9" s="46"/>
      <c r="AZ9" s="46"/>
      <c r="BA9" s="46"/>
      <c r="BB9" s="46"/>
      <c r="BC9" s="46"/>
      <c r="BD9" s="46"/>
      <c r="BE9" s="46"/>
      <c r="BF9" s="46"/>
      <c r="BG9" s="46"/>
      <c r="BH9" s="46"/>
      <c r="BI9" s="46"/>
      <c r="BJ9" s="46"/>
      <c r="BK9" s="46"/>
      <c r="BL9" s="46"/>
      <c r="BM9" s="46"/>
      <c r="BN9" s="46"/>
      <c r="BO9" s="46"/>
      <c r="BP9" s="46"/>
      <c r="BQ9" s="46"/>
      <c r="BR9" s="46"/>
      <c r="BS9" s="46"/>
      <c r="BT9" s="46"/>
      <c r="BU9" s="46"/>
      <c r="BV9" s="46"/>
      <c r="BW9" s="46"/>
      <c r="BX9" s="46"/>
      <c r="BY9" s="46"/>
      <c r="BZ9" s="47"/>
    </row>
    <row r="10" spans="1:79" x14ac:dyDescent="0.2">
      <c r="A10" s="52"/>
      <c r="B10" s="44"/>
      <c r="C10" s="82"/>
      <c r="D10" s="82"/>
      <c r="E10" s="61"/>
      <c r="F10" s="49"/>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c r="BQ10" s="50"/>
      <c r="BR10" s="50"/>
      <c r="BS10" s="50"/>
      <c r="BT10" s="50"/>
      <c r="BU10" s="50"/>
      <c r="BV10" s="50"/>
      <c r="BW10" s="50"/>
      <c r="BX10" s="50"/>
      <c r="BY10" s="50"/>
      <c r="BZ10" s="51"/>
    </row>
    <row r="11" spans="1:79" x14ac:dyDescent="0.2">
      <c r="A11" s="48"/>
      <c r="B11" s="44"/>
      <c r="C11" s="82"/>
      <c r="D11" s="82"/>
      <c r="E11" s="61"/>
      <c r="F11" s="49"/>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c r="BQ11" s="50"/>
      <c r="BR11" s="50"/>
      <c r="BS11" s="50"/>
      <c r="BT11" s="50"/>
      <c r="BU11" s="50"/>
      <c r="BV11" s="50"/>
      <c r="BW11" s="50"/>
      <c r="BX11" s="50"/>
      <c r="BY11" s="50"/>
      <c r="BZ11" s="51"/>
    </row>
    <row r="12" spans="1:79" x14ac:dyDescent="0.2">
      <c r="A12" s="48"/>
      <c r="B12" s="44"/>
      <c r="C12" s="82"/>
      <c r="D12" s="82"/>
      <c r="E12" s="61"/>
      <c r="F12" s="49"/>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c r="AL12" s="50"/>
      <c r="AM12" s="50"/>
      <c r="AN12" s="50"/>
      <c r="AO12" s="50"/>
      <c r="AP12" s="50"/>
      <c r="AQ12" s="50"/>
      <c r="AR12" s="50"/>
      <c r="AS12" s="50"/>
      <c r="AT12" s="50"/>
      <c r="AU12" s="50"/>
      <c r="AV12" s="50"/>
      <c r="AW12" s="50"/>
      <c r="AX12" s="50"/>
      <c r="AY12" s="50"/>
      <c r="AZ12" s="50"/>
      <c r="BA12" s="50"/>
      <c r="BB12" s="50"/>
      <c r="BC12" s="50"/>
      <c r="BD12" s="50"/>
      <c r="BE12" s="50"/>
      <c r="BF12" s="50"/>
      <c r="BG12" s="50"/>
      <c r="BH12" s="50"/>
      <c r="BI12" s="50"/>
      <c r="BJ12" s="50"/>
      <c r="BK12" s="50"/>
      <c r="BL12" s="50"/>
      <c r="BM12" s="50"/>
      <c r="BN12" s="50"/>
      <c r="BO12" s="50"/>
      <c r="BP12" s="50"/>
      <c r="BQ12" s="50"/>
      <c r="BR12" s="50"/>
      <c r="BS12" s="50"/>
      <c r="BT12" s="50"/>
      <c r="BU12" s="50"/>
      <c r="BV12" s="50"/>
      <c r="BW12" s="50"/>
      <c r="BX12" s="50"/>
      <c r="BY12" s="50"/>
      <c r="BZ12" s="51"/>
    </row>
    <row r="13" spans="1:79" x14ac:dyDescent="0.2">
      <c r="A13" s="52"/>
      <c r="B13" s="44"/>
      <c r="C13" s="82"/>
      <c r="D13" s="82"/>
      <c r="E13" s="61"/>
      <c r="F13" s="49"/>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c r="AF13" s="50"/>
      <c r="AG13" s="50"/>
      <c r="AH13" s="50"/>
      <c r="AI13" s="50"/>
      <c r="AJ13" s="50"/>
      <c r="AK13" s="50"/>
      <c r="AL13" s="50"/>
      <c r="AM13" s="50"/>
      <c r="AN13" s="50"/>
      <c r="AO13" s="50"/>
      <c r="AP13" s="50"/>
      <c r="AQ13" s="50"/>
      <c r="AR13" s="50"/>
      <c r="AS13" s="50"/>
      <c r="AT13" s="50"/>
      <c r="AU13" s="50"/>
      <c r="AV13" s="50"/>
      <c r="AW13" s="50"/>
      <c r="AX13" s="50"/>
      <c r="AY13" s="50"/>
      <c r="AZ13" s="50"/>
      <c r="BA13" s="50"/>
      <c r="BB13" s="50"/>
      <c r="BC13" s="50"/>
      <c r="BD13" s="50"/>
      <c r="BE13" s="50"/>
      <c r="BF13" s="50"/>
      <c r="BG13" s="50"/>
      <c r="BH13" s="50"/>
      <c r="BI13" s="50"/>
      <c r="BJ13" s="50"/>
      <c r="BK13" s="50"/>
      <c r="BL13" s="50"/>
      <c r="BM13" s="50"/>
      <c r="BN13" s="50"/>
      <c r="BO13" s="50"/>
      <c r="BP13" s="50"/>
      <c r="BQ13" s="50"/>
      <c r="BR13" s="50"/>
      <c r="BS13" s="50"/>
      <c r="BT13" s="50"/>
      <c r="BU13" s="50"/>
      <c r="BV13" s="50"/>
      <c r="BW13" s="50"/>
      <c r="BX13" s="50"/>
      <c r="BY13" s="50"/>
      <c r="BZ13" s="51"/>
    </row>
    <row r="14" spans="1:79" x14ac:dyDescent="0.2">
      <c r="A14" s="48"/>
      <c r="B14" s="44"/>
      <c r="C14" s="82"/>
      <c r="D14" s="82"/>
      <c r="E14" s="61"/>
      <c r="F14" s="49"/>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W14" s="50"/>
      <c r="AX14" s="50"/>
      <c r="AY14" s="50"/>
      <c r="AZ14" s="50"/>
      <c r="BA14" s="50"/>
      <c r="BB14" s="50"/>
      <c r="BC14" s="50"/>
      <c r="BD14" s="50"/>
      <c r="BE14" s="50"/>
      <c r="BF14" s="50"/>
      <c r="BG14" s="50"/>
      <c r="BH14" s="50"/>
      <c r="BI14" s="50"/>
      <c r="BJ14" s="50"/>
      <c r="BK14" s="50"/>
      <c r="BL14" s="50"/>
      <c r="BM14" s="50"/>
      <c r="BN14" s="50"/>
      <c r="BO14" s="50"/>
      <c r="BP14" s="50"/>
      <c r="BQ14" s="50"/>
      <c r="BR14" s="50"/>
      <c r="BS14" s="50"/>
      <c r="BT14" s="50"/>
      <c r="BU14" s="50"/>
      <c r="BV14" s="50"/>
      <c r="BW14" s="50"/>
      <c r="BX14" s="50"/>
      <c r="BY14" s="50"/>
      <c r="BZ14" s="51"/>
    </row>
    <row r="15" spans="1:79" x14ac:dyDescent="0.2">
      <c r="A15" s="52"/>
      <c r="B15" s="44"/>
      <c r="C15" s="82"/>
      <c r="D15" s="82"/>
      <c r="E15" s="61"/>
      <c r="F15" s="49"/>
      <c r="G15" s="50"/>
      <c r="H15" s="50"/>
      <c r="I15" s="50"/>
      <c r="J15" s="50"/>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0"/>
      <c r="AQ15" s="50"/>
      <c r="AR15" s="50"/>
      <c r="AS15" s="50"/>
      <c r="AT15" s="50"/>
      <c r="AU15" s="50"/>
      <c r="AV15" s="50"/>
      <c r="AW15" s="50"/>
      <c r="AX15" s="50"/>
      <c r="AY15" s="50"/>
      <c r="AZ15" s="50"/>
      <c r="BA15" s="50"/>
      <c r="BB15" s="50"/>
      <c r="BC15" s="50"/>
      <c r="BD15" s="50"/>
      <c r="BE15" s="50"/>
      <c r="BF15" s="50"/>
      <c r="BG15" s="50"/>
      <c r="BH15" s="50"/>
      <c r="BI15" s="50"/>
      <c r="BJ15" s="50"/>
      <c r="BK15" s="50"/>
      <c r="BL15" s="50"/>
      <c r="BM15" s="50"/>
      <c r="BN15" s="50"/>
      <c r="BO15" s="50"/>
      <c r="BP15" s="50"/>
      <c r="BQ15" s="50"/>
      <c r="BR15" s="50"/>
      <c r="BS15" s="50"/>
      <c r="BT15" s="50"/>
      <c r="BU15" s="50"/>
      <c r="BV15" s="50"/>
      <c r="BW15" s="50"/>
      <c r="BX15" s="50"/>
      <c r="BY15" s="50"/>
      <c r="BZ15" s="51"/>
    </row>
    <row r="16" spans="1:79" x14ac:dyDescent="0.2">
      <c r="A16" s="52"/>
      <c r="B16" s="44"/>
      <c r="C16" s="82"/>
      <c r="D16" s="82"/>
      <c r="E16" s="61"/>
      <c r="F16" s="49"/>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W16" s="50"/>
      <c r="AX16" s="50"/>
      <c r="AY16" s="50"/>
      <c r="AZ16" s="50"/>
      <c r="BA16" s="50"/>
      <c r="BB16" s="50"/>
      <c r="BC16" s="50"/>
      <c r="BD16" s="50"/>
      <c r="BE16" s="50"/>
      <c r="BF16" s="50"/>
      <c r="BG16" s="50"/>
      <c r="BH16" s="50"/>
      <c r="BI16" s="50"/>
      <c r="BJ16" s="50"/>
      <c r="BK16" s="50"/>
      <c r="BL16" s="50"/>
      <c r="BM16" s="50"/>
      <c r="BN16" s="50"/>
      <c r="BO16" s="50"/>
      <c r="BP16" s="50"/>
      <c r="BQ16" s="50"/>
      <c r="BR16" s="50"/>
      <c r="BS16" s="50"/>
      <c r="BT16" s="50"/>
      <c r="BU16" s="50"/>
      <c r="BV16" s="50"/>
      <c r="BW16" s="50"/>
      <c r="BX16" s="50"/>
      <c r="BY16" s="50"/>
      <c r="BZ16" s="51"/>
    </row>
    <row r="17" spans="1:78" s="40" customFormat="1" x14ac:dyDescent="0.2">
      <c r="A17" s="58"/>
      <c r="B17" s="44"/>
      <c r="C17" s="82"/>
      <c r="D17" s="82"/>
      <c r="E17" s="61"/>
      <c r="F17" s="49"/>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c r="AL17" s="50"/>
      <c r="AM17" s="50"/>
      <c r="AN17" s="50"/>
      <c r="AO17" s="50"/>
      <c r="AP17" s="50"/>
      <c r="AQ17" s="50"/>
      <c r="AR17" s="50"/>
      <c r="AS17" s="50"/>
      <c r="AT17" s="50"/>
      <c r="AU17" s="50"/>
      <c r="AV17" s="50"/>
      <c r="AW17" s="50"/>
      <c r="AX17" s="50"/>
      <c r="AY17" s="50"/>
      <c r="AZ17" s="50"/>
      <c r="BA17" s="50"/>
      <c r="BB17" s="50"/>
      <c r="BC17" s="50"/>
      <c r="BD17" s="50"/>
      <c r="BE17" s="50"/>
      <c r="BF17" s="50"/>
      <c r="BG17" s="50"/>
      <c r="BH17" s="50"/>
      <c r="BI17" s="50"/>
      <c r="BJ17" s="50"/>
      <c r="BK17" s="50"/>
      <c r="BL17" s="50"/>
      <c r="BM17" s="50"/>
      <c r="BN17" s="50"/>
      <c r="BO17" s="50"/>
      <c r="BP17" s="50"/>
      <c r="BQ17" s="50"/>
      <c r="BR17" s="50"/>
      <c r="BS17" s="50"/>
      <c r="BT17" s="50"/>
      <c r="BU17" s="50"/>
      <c r="BV17" s="50"/>
      <c r="BW17" s="50"/>
      <c r="BX17" s="50"/>
      <c r="BY17" s="50"/>
      <c r="BZ17" s="51"/>
    </row>
    <row r="18" spans="1:78" x14ac:dyDescent="0.2">
      <c r="A18" s="58"/>
      <c r="B18" s="44"/>
      <c r="C18" s="82"/>
      <c r="D18" s="82"/>
      <c r="E18" s="65"/>
      <c r="F18" s="49"/>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c r="AO18" s="50"/>
      <c r="AP18" s="50"/>
      <c r="AQ18" s="50"/>
      <c r="AR18" s="50"/>
      <c r="AS18" s="50"/>
      <c r="AT18" s="50"/>
      <c r="AU18" s="50"/>
      <c r="AV18" s="50"/>
      <c r="AW18" s="50"/>
      <c r="AX18" s="50"/>
      <c r="AY18" s="50"/>
      <c r="AZ18" s="50"/>
      <c r="BA18" s="50"/>
      <c r="BB18" s="50"/>
      <c r="BC18" s="50"/>
      <c r="BD18" s="50"/>
      <c r="BE18" s="50"/>
      <c r="BF18" s="50"/>
      <c r="BG18" s="50"/>
      <c r="BH18" s="50"/>
      <c r="BI18" s="50"/>
      <c r="BJ18" s="50"/>
      <c r="BK18" s="50"/>
      <c r="BL18" s="50"/>
      <c r="BM18" s="50"/>
      <c r="BN18" s="50"/>
      <c r="BO18" s="50"/>
      <c r="BP18" s="50"/>
      <c r="BQ18" s="50"/>
      <c r="BR18" s="50"/>
      <c r="BS18" s="50"/>
      <c r="BT18" s="50"/>
      <c r="BU18" s="50"/>
      <c r="BV18" s="50"/>
      <c r="BW18" s="50"/>
      <c r="BX18" s="50"/>
      <c r="BY18" s="50"/>
      <c r="BZ18" s="51"/>
    </row>
    <row r="19" spans="1:78" x14ac:dyDescent="0.2">
      <c r="A19" s="58"/>
      <c r="B19" s="44"/>
      <c r="C19" s="82"/>
      <c r="D19" s="82"/>
      <c r="E19" s="61"/>
      <c r="F19" s="49"/>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c r="BI19" s="50"/>
      <c r="BJ19" s="50"/>
      <c r="BK19" s="50"/>
      <c r="BL19" s="50"/>
      <c r="BM19" s="50"/>
      <c r="BN19" s="50"/>
      <c r="BO19" s="50"/>
      <c r="BP19" s="50"/>
      <c r="BQ19" s="50"/>
      <c r="BR19" s="50"/>
      <c r="BS19" s="50"/>
      <c r="BT19" s="50"/>
      <c r="BU19" s="50"/>
      <c r="BV19" s="50"/>
      <c r="BW19" s="50"/>
      <c r="BX19" s="50"/>
      <c r="BY19" s="50"/>
      <c r="BZ19" s="51"/>
    </row>
    <row r="20" spans="1:78" x14ac:dyDescent="0.2">
      <c r="A20" s="52"/>
      <c r="B20" s="44"/>
      <c r="C20" s="82"/>
      <c r="D20" s="82"/>
      <c r="E20" s="61"/>
      <c r="F20" s="49"/>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c r="BI20" s="50"/>
      <c r="BJ20" s="50"/>
      <c r="BK20" s="50"/>
      <c r="BL20" s="50"/>
      <c r="BM20" s="50"/>
      <c r="BN20" s="50"/>
      <c r="BO20" s="50"/>
      <c r="BP20" s="50"/>
      <c r="BQ20" s="50"/>
      <c r="BR20" s="50"/>
      <c r="BS20" s="50"/>
      <c r="BT20" s="50"/>
      <c r="BU20" s="50"/>
      <c r="BV20" s="50"/>
      <c r="BW20" s="50"/>
      <c r="BX20" s="50"/>
      <c r="BY20" s="50"/>
      <c r="BZ20" s="51"/>
    </row>
    <row r="21" spans="1:78" x14ac:dyDescent="0.2">
      <c r="A21" s="52"/>
      <c r="B21" s="44"/>
      <c r="C21" s="82"/>
      <c r="D21" s="82"/>
      <c r="E21" s="61"/>
      <c r="F21" s="49"/>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W21" s="50"/>
      <c r="AX21" s="50"/>
      <c r="AY21" s="50"/>
      <c r="AZ21" s="50"/>
      <c r="BA21" s="50"/>
      <c r="BB21" s="50"/>
      <c r="BC21" s="50"/>
      <c r="BD21" s="50"/>
      <c r="BE21" s="50"/>
      <c r="BF21" s="50"/>
      <c r="BG21" s="50"/>
      <c r="BH21" s="50"/>
      <c r="BI21" s="50"/>
      <c r="BJ21" s="50"/>
      <c r="BK21" s="50"/>
      <c r="BL21" s="50"/>
      <c r="BM21" s="50"/>
      <c r="BN21" s="50"/>
      <c r="BO21" s="50"/>
      <c r="BP21" s="50"/>
      <c r="BQ21" s="50"/>
      <c r="BR21" s="50"/>
      <c r="BS21" s="50"/>
      <c r="BT21" s="50"/>
      <c r="BU21" s="50"/>
      <c r="BV21" s="50"/>
      <c r="BW21" s="50"/>
      <c r="BX21" s="50"/>
      <c r="BY21" s="50"/>
      <c r="BZ21" s="51"/>
    </row>
    <row r="22" spans="1:78" x14ac:dyDescent="0.2">
      <c r="A22" s="52"/>
      <c r="B22" s="44"/>
      <c r="C22" s="82"/>
      <c r="D22" s="82"/>
      <c r="E22" s="61"/>
      <c r="F22" s="49"/>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c r="BI22" s="50"/>
      <c r="BJ22" s="50"/>
      <c r="BK22" s="50"/>
      <c r="BL22" s="50"/>
      <c r="BM22" s="50"/>
      <c r="BN22" s="50"/>
      <c r="BO22" s="50"/>
      <c r="BP22" s="50"/>
      <c r="BQ22" s="50"/>
      <c r="BR22" s="50"/>
      <c r="BS22" s="50"/>
      <c r="BT22" s="50"/>
      <c r="BU22" s="50"/>
      <c r="BV22" s="50"/>
      <c r="BW22" s="50"/>
      <c r="BX22" s="50"/>
      <c r="BY22" s="50"/>
      <c r="BZ22" s="51"/>
    </row>
    <row r="23" spans="1:78" x14ac:dyDescent="0.2">
      <c r="A23" s="48"/>
      <c r="B23" s="44"/>
      <c r="C23" s="82"/>
      <c r="D23" s="82"/>
      <c r="E23" s="61"/>
      <c r="F23" s="49"/>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c r="BI23" s="50"/>
      <c r="BJ23" s="50"/>
      <c r="BK23" s="50"/>
      <c r="BL23" s="50"/>
      <c r="BM23" s="50"/>
      <c r="BN23" s="50"/>
      <c r="BO23" s="50"/>
      <c r="BP23" s="50"/>
      <c r="BQ23" s="50"/>
      <c r="BR23" s="50"/>
      <c r="BS23" s="50"/>
      <c r="BT23" s="50"/>
      <c r="BU23" s="50"/>
      <c r="BV23" s="50"/>
      <c r="BW23" s="50"/>
      <c r="BX23" s="50"/>
      <c r="BY23" s="50"/>
      <c r="BZ23" s="51"/>
    </row>
    <row r="24" spans="1:78" x14ac:dyDescent="0.2">
      <c r="A24" s="48"/>
      <c r="B24" s="44"/>
      <c r="C24" s="82"/>
      <c r="D24" s="82"/>
      <c r="E24" s="61"/>
      <c r="F24" s="49"/>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c r="AP24" s="50"/>
      <c r="AQ24" s="50"/>
      <c r="AR24" s="50"/>
      <c r="AS24" s="50"/>
      <c r="AT24" s="50"/>
      <c r="AU24" s="50"/>
      <c r="AV24" s="50"/>
      <c r="AW24" s="50"/>
      <c r="AX24" s="50"/>
      <c r="AY24" s="50"/>
      <c r="AZ24" s="50"/>
      <c r="BA24" s="50"/>
      <c r="BB24" s="50"/>
      <c r="BC24" s="50"/>
      <c r="BD24" s="50"/>
      <c r="BE24" s="50"/>
      <c r="BF24" s="50"/>
      <c r="BG24" s="50"/>
      <c r="BH24" s="50"/>
      <c r="BI24" s="50"/>
      <c r="BJ24" s="50"/>
      <c r="BK24" s="50"/>
      <c r="BL24" s="50"/>
      <c r="BM24" s="50"/>
      <c r="BN24" s="50"/>
      <c r="BO24" s="50"/>
      <c r="BP24" s="50"/>
      <c r="BQ24" s="50"/>
      <c r="BR24" s="50"/>
      <c r="BS24" s="50"/>
      <c r="BT24" s="50"/>
      <c r="BU24" s="50"/>
      <c r="BV24" s="50"/>
      <c r="BW24" s="50"/>
      <c r="BX24" s="50"/>
      <c r="BY24" s="50"/>
      <c r="BZ24" s="51"/>
    </row>
    <row r="25" spans="1:78" x14ac:dyDescent="0.2">
      <c r="A25" s="48"/>
      <c r="B25" s="44"/>
      <c r="C25" s="82"/>
      <c r="D25" s="82"/>
      <c r="E25" s="61"/>
      <c r="F25" s="49"/>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1"/>
    </row>
    <row r="26" spans="1:78" x14ac:dyDescent="0.2">
      <c r="A26" s="48"/>
      <c r="B26" s="44"/>
      <c r="C26" s="82"/>
      <c r="D26" s="82"/>
      <c r="E26" s="61"/>
      <c r="F26" s="73"/>
      <c r="G26" s="74"/>
      <c r="H26" s="74"/>
      <c r="I26" s="74"/>
      <c r="J26" s="74"/>
      <c r="K26" s="74"/>
      <c r="L26" s="74"/>
      <c r="M26" s="74"/>
      <c r="N26" s="74"/>
      <c r="O26" s="74"/>
      <c r="P26" s="74"/>
      <c r="Q26" s="74"/>
      <c r="R26" s="74"/>
      <c r="S26" s="74"/>
      <c r="T26" s="74"/>
      <c r="U26" s="74"/>
      <c r="V26" s="74"/>
      <c r="W26" s="74"/>
      <c r="X26" s="74"/>
      <c r="Y26" s="74"/>
      <c r="Z26" s="74"/>
      <c r="AA26" s="74"/>
      <c r="AB26" s="74"/>
      <c r="AC26" s="74"/>
      <c r="AD26" s="74"/>
      <c r="AE26" s="74"/>
      <c r="AF26" s="74"/>
      <c r="AG26" s="74"/>
      <c r="AH26" s="74"/>
      <c r="AI26" s="74"/>
      <c r="AJ26" s="74"/>
      <c r="AK26" s="74"/>
      <c r="AL26" s="74"/>
      <c r="AM26" s="74"/>
      <c r="AN26" s="74"/>
      <c r="AO26" s="74"/>
      <c r="AP26" s="74"/>
      <c r="AQ26" s="74"/>
      <c r="AR26" s="74"/>
      <c r="AS26" s="74"/>
      <c r="AT26" s="74"/>
      <c r="AU26" s="74"/>
      <c r="AV26" s="74"/>
      <c r="AW26" s="74"/>
      <c r="AX26" s="74"/>
      <c r="AY26" s="74"/>
      <c r="AZ26" s="74"/>
      <c r="BA26" s="74"/>
      <c r="BB26" s="74"/>
      <c r="BC26" s="74"/>
      <c r="BD26" s="74"/>
      <c r="BE26" s="74"/>
      <c r="BF26" s="74"/>
      <c r="BG26" s="74"/>
      <c r="BH26" s="74"/>
      <c r="BI26" s="74"/>
      <c r="BJ26" s="74"/>
      <c r="BK26" s="74"/>
      <c r="BL26" s="74"/>
      <c r="BM26" s="74"/>
      <c r="BN26" s="74"/>
      <c r="BO26" s="74"/>
      <c r="BP26" s="74"/>
      <c r="BQ26" s="74"/>
      <c r="BR26" s="74"/>
      <c r="BS26" s="74"/>
      <c r="BT26" s="74"/>
      <c r="BU26" s="74"/>
      <c r="BV26" s="74"/>
      <c r="BW26" s="74"/>
      <c r="BX26" s="74"/>
      <c r="BY26" s="74"/>
      <c r="BZ26" s="75"/>
    </row>
    <row r="27" spans="1:78" x14ac:dyDescent="0.2">
      <c r="A27" s="52"/>
      <c r="B27" s="44"/>
      <c r="C27" s="82"/>
      <c r="D27" s="82"/>
      <c r="E27" s="61"/>
      <c r="F27" s="49"/>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c r="AO27" s="50"/>
      <c r="AP27" s="50"/>
      <c r="AQ27" s="50"/>
      <c r="AR27" s="50"/>
      <c r="AS27" s="50"/>
      <c r="AT27" s="50"/>
      <c r="AU27" s="50"/>
      <c r="AV27" s="50"/>
      <c r="AW27" s="50"/>
      <c r="AX27" s="50"/>
      <c r="AY27" s="50"/>
      <c r="AZ27" s="50"/>
      <c r="BA27" s="50"/>
      <c r="BB27" s="50"/>
      <c r="BC27" s="50"/>
      <c r="BD27" s="50"/>
      <c r="BE27" s="50"/>
      <c r="BF27" s="50"/>
      <c r="BG27" s="50"/>
      <c r="BH27" s="50"/>
      <c r="BI27" s="50"/>
      <c r="BJ27" s="50"/>
      <c r="BK27" s="50"/>
      <c r="BL27" s="50"/>
      <c r="BM27" s="50"/>
      <c r="BN27" s="50"/>
      <c r="BO27" s="50"/>
      <c r="BP27" s="50"/>
      <c r="BQ27" s="50"/>
      <c r="BR27" s="50"/>
      <c r="BS27" s="50"/>
      <c r="BT27" s="50"/>
      <c r="BU27" s="50"/>
      <c r="BV27" s="50"/>
      <c r="BW27" s="50"/>
      <c r="BX27" s="50"/>
      <c r="BY27" s="50"/>
      <c r="BZ27" s="51"/>
    </row>
    <row r="28" spans="1:78" s="40" customFormat="1" x14ac:dyDescent="0.2">
      <c r="A28" s="52"/>
      <c r="B28" s="44"/>
      <c r="C28" s="82"/>
      <c r="D28" s="82"/>
      <c r="E28" s="61"/>
      <c r="F28" s="49"/>
      <c r="G28" s="50"/>
      <c r="H28" s="50"/>
      <c r="I28" s="50"/>
      <c r="J28" s="50"/>
      <c r="K28" s="50"/>
      <c r="L28" s="50"/>
      <c r="M28" s="50"/>
      <c r="N28" s="50"/>
      <c r="O28" s="50"/>
      <c r="P28" s="50"/>
      <c r="Q28" s="50"/>
      <c r="R28" s="50"/>
      <c r="S28" s="50"/>
      <c r="T28" s="50"/>
      <c r="U28" s="50"/>
      <c r="V28" s="50"/>
      <c r="W28" s="50"/>
      <c r="X28" s="50"/>
      <c r="Y28" s="50"/>
      <c r="Z28" s="50"/>
      <c r="AA28" s="50"/>
      <c r="AB28" s="50"/>
      <c r="AC28" s="50"/>
      <c r="AD28" s="50"/>
      <c r="AE28" s="50"/>
      <c r="AF28" s="50"/>
      <c r="AG28" s="50"/>
      <c r="AH28" s="50"/>
      <c r="AI28" s="50"/>
      <c r="AJ28" s="50"/>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c r="BI28" s="50"/>
      <c r="BJ28" s="50"/>
      <c r="BK28" s="50"/>
      <c r="BL28" s="50"/>
      <c r="BM28" s="50"/>
      <c r="BN28" s="50"/>
      <c r="BO28" s="50"/>
      <c r="BP28" s="50"/>
      <c r="BQ28" s="50"/>
      <c r="BR28" s="50"/>
      <c r="BS28" s="50"/>
      <c r="BT28" s="50"/>
      <c r="BU28" s="50"/>
      <c r="BV28" s="50"/>
      <c r="BW28" s="50"/>
      <c r="BX28" s="50"/>
      <c r="BY28" s="50"/>
      <c r="BZ28" s="51"/>
    </row>
    <row r="29" spans="1:78" s="40" customFormat="1" x14ac:dyDescent="0.2">
      <c r="A29" s="48"/>
      <c r="B29" s="44"/>
      <c r="C29" s="82"/>
      <c r="D29" s="82"/>
      <c r="E29" s="61"/>
      <c r="F29" s="73"/>
      <c r="G29" s="74"/>
      <c r="H29" s="74"/>
      <c r="I29" s="74"/>
      <c r="J29" s="74"/>
      <c r="K29" s="74"/>
      <c r="L29" s="74"/>
      <c r="M29" s="74"/>
      <c r="N29" s="74"/>
      <c r="O29" s="74"/>
      <c r="P29" s="74"/>
      <c r="Q29" s="74"/>
      <c r="R29" s="74"/>
      <c r="S29" s="74"/>
      <c r="T29" s="74"/>
      <c r="U29" s="74"/>
      <c r="V29" s="74"/>
      <c r="W29" s="74"/>
      <c r="X29" s="74"/>
      <c r="Y29" s="74"/>
      <c r="Z29" s="74"/>
      <c r="AA29" s="74"/>
      <c r="AB29" s="74"/>
      <c r="AC29" s="74"/>
      <c r="AD29" s="74"/>
      <c r="AE29" s="74"/>
      <c r="AF29" s="74"/>
      <c r="AG29" s="74"/>
      <c r="AH29" s="74"/>
      <c r="AI29" s="74"/>
      <c r="AJ29" s="74"/>
      <c r="AK29" s="74"/>
      <c r="AL29" s="74"/>
      <c r="AM29" s="74"/>
      <c r="AN29" s="74"/>
      <c r="AO29" s="74"/>
      <c r="AP29" s="74"/>
      <c r="AQ29" s="74"/>
      <c r="AR29" s="74"/>
      <c r="AS29" s="74"/>
      <c r="AT29" s="74"/>
      <c r="AU29" s="74"/>
      <c r="AV29" s="74"/>
      <c r="AW29" s="74"/>
      <c r="AX29" s="74"/>
      <c r="AY29" s="74"/>
      <c r="AZ29" s="74"/>
      <c r="BA29" s="74"/>
      <c r="BB29" s="74"/>
      <c r="BC29" s="74"/>
      <c r="BD29" s="74"/>
      <c r="BE29" s="74"/>
      <c r="BF29" s="74"/>
      <c r="BG29" s="74"/>
      <c r="BH29" s="74"/>
      <c r="BI29" s="74"/>
      <c r="BJ29" s="74"/>
      <c r="BK29" s="74"/>
      <c r="BL29" s="74"/>
      <c r="BM29" s="74"/>
      <c r="BN29" s="74"/>
      <c r="BO29" s="74"/>
      <c r="BP29" s="74"/>
      <c r="BQ29" s="74"/>
      <c r="BR29" s="74"/>
      <c r="BS29" s="74"/>
      <c r="BT29" s="74"/>
      <c r="BU29" s="74"/>
      <c r="BV29" s="74"/>
      <c r="BW29" s="74"/>
      <c r="BX29" s="74"/>
      <c r="BY29" s="74"/>
      <c r="BZ29" s="75"/>
    </row>
    <row r="30" spans="1:78" s="40" customFormat="1" x14ac:dyDescent="0.2">
      <c r="A30" s="52"/>
      <c r="B30" s="44"/>
      <c r="C30" s="82"/>
      <c r="D30" s="82"/>
      <c r="E30" s="61"/>
      <c r="F30" s="49"/>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c r="AP30" s="50"/>
      <c r="AQ30" s="50"/>
      <c r="AR30" s="50"/>
      <c r="AS30" s="50"/>
      <c r="AT30" s="50"/>
      <c r="AU30" s="50"/>
      <c r="AV30" s="50"/>
      <c r="AW30" s="50"/>
      <c r="AX30" s="50"/>
      <c r="AY30" s="50"/>
      <c r="AZ30" s="50"/>
      <c r="BA30" s="50"/>
      <c r="BB30" s="50"/>
      <c r="BC30" s="50"/>
      <c r="BD30" s="50"/>
      <c r="BE30" s="50"/>
      <c r="BF30" s="50"/>
      <c r="BG30" s="50"/>
      <c r="BH30" s="50"/>
      <c r="BI30" s="50"/>
      <c r="BJ30" s="50"/>
      <c r="BK30" s="50"/>
      <c r="BL30" s="50"/>
      <c r="BM30" s="50"/>
      <c r="BN30" s="50"/>
      <c r="BO30" s="50"/>
      <c r="BP30" s="50"/>
      <c r="BQ30" s="50"/>
      <c r="BR30" s="50"/>
      <c r="BS30" s="50"/>
      <c r="BT30" s="50"/>
      <c r="BU30" s="50"/>
      <c r="BV30" s="50"/>
      <c r="BW30" s="50"/>
      <c r="BX30" s="50"/>
      <c r="BY30" s="50"/>
      <c r="BZ30" s="51"/>
    </row>
    <row r="31" spans="1:78" x14ac:dyDescent="0.2">
      <c r="A31" s="48"/>
      <c r="B31" s="53"/>
      <c r="C31" s="82"/>
      <c r="D31" s="82"/>
      <c r="E31" s="61"/>
      <c r="F31" s="49"/>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c r="BR31" s="50"/>
      <c r="BS31" s="50"/>
      <c r="BT31" s="50"/>
      <c r="BU31" s="50"/>
      <c r="BV31" s="50"/>
      <c r="BW31" s="50"/>
      <c r="BX31" s="50"/>
      <c r="BY31" s="50"/>
      <c r="BZ31" s="51"/>
    </row>
    <row r="32" spans="1:78" x14ac:dyDescent="0.2">
      <c r="A32" s="48"/>
      <c r="B32" s="53"/>
      <c r="C32" s="82"/>
      <c r="D32" s="82"/>
      <c r="E32" s="61"/>
      <c r="F32" s="49"/>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c r="BO32" s="50"/>
      <c r="BP32" s="50"/>
      <c r="BQ32" s="50"/>
      <c r="BR32" s="50"/>
      <c r="BS32" s="50"/>
      <c r="BT32" s="50"/>
      <c r="BU32" s="50"/>
      <c r="BV32" s="50"/>
      <c r="BW32" s="50"/>
      <c r="BX32" s="50"/>
      <c r="BY32" s="50"/>
      <c r="BZ32" s="51"/>
    </row>
    <row r="33" spans="1:78" s="40" customFormat="1" x14ac:dyDescent="0.2">
      <c r="A33" s="48"/>
      <c r="B33" s="44"/>
      <c r="C33" s="82"/>
      <c r="D33" s="82"/>
      <c r="E33" s="61"/>
      <c r="F33" s="73"/>
      <c r="G33" s="74"/>
      <c r="H33" s="74"/>
      <c r="I33" s="74"/>
      <c r="J33" s="74"/>
      <c r="K33" s="74"/>
      <c r="L33" s="74"/>
      <c r="M33" s="74"/>
      <c r="N33" s="74"/>
      <c r="O33" s="74"/>
      <c r="P33" s="74"/>
      <c r="Q33" s="74"/>
      <c r="R33" s="74"/>
      <c r="S33" s="74"/>
      <c r="T33" s="74"/>
      <c r="U33" s="74"/>
      <c r="V33" s="50"/>
      <c r="W33" s="74"/>
      <c r="X33" s="74"/>
      <c r="Y33" s="74"/>
      <c r="Z33" s="74"/>
      <c r="AA33" s="74"/>
      <c r="AB33" s="74"/>
      <c r="AC33" s="74"/>
      <c r="AD33" s="74"/>
      <c r="AE33" s="74"/>
      <c r="AF33" s="74"/>
      <c r="AG33" s="74"/>
      <c r="AH33" s="74"/>
      <c r="AI33" s="74"/>
      <c r="AJ33" s="74"/>
      <c r="AK33" s="74"/>
      <c r="AL33" s="74"/>
      <c r="AM33" s="74"/>
      <c r="AN33" s="74"/>
      <c r="AO33" s="74"/>
      <c r="AP33" s="74"/>
      <c r="AQ33" s="74"/>
      <c r="AR33" s="74"/>
      <c r="AS33" s="74"/>
      <c r="AT33" s="74"/>
      <c r="AU33" s="74"/>
      <c r="AV33" s="74"/>
      <c r="AW33" s="74"/>
      <c r="AX33" s="74"/>
      <c r="AY33" s="74"/>
      <c r="AZ33" s="74"/>
      <c r="BA33" s="74"/>
      <c r="BB33" s="74"/>
      <c r="BC33" s="74"/>
      <c r="BD33" s="74"/>
      <c r="BE33" s="74"/>
      <c r="BF33" s="74"/>
      <c r="BG33" s="74"/>
      <c r="BH33" s="74"/>
      <c r="BI33" s="74"/>
      <c r="BJ33" s="74"/>
      <c r="BK33" s="74"/>
      <c r="BL33" s="74"/>
      <c r="BM33" s="74"/>
      <c r="BN33" s="74"/>
      <c r="BO33" s="74"/>
      <c r="BP33" s="74"/>
      <c r="BQ33" s="74"/>
      <c r="BR33" s="74"/>
      <c r="BS33" s="74"/>
      <c r="BT33" s="74"/>
      <c r="BU33" s="74"/>
      <c r="BV33" s="74"/>
      <c r="BW33" s="74"/>
      <c r="BX33" s="74"/>
      <c r="BY33" s="74"/>
      <c r="BZ33" s="75"/>
    </row>
    <row r="34" spans="1:78" x14ac:dyDescent="0.2">
      <c r="A34" s="48"/>
      <c r="B34" s="44"/>
      <c r="C34" s="82"/>
      <c r="D34" s="82"/>
      <c r="E34" s="61"/>
      <c r="F34" s="73"/>
      <c r="G34" s="74"/>
      <c r="H34" s="74"/>
      <c r="I34" s="74"/>
      <c r="J34" s="74"/>
      <c r="K34" s="74"/>
      <c r="L34" s="74"/>
      <c r="M34" s="74"/>
      <c r="N34" s="74"/>
      <c r="O34" s="74"/>
      <c r="P34" s="74"/>
      <c r="Q34" s="74"/>
      <c r="R34" s="74"/>
      <c r="S34" s="74"/>
      <c r="T34" s="74"/>
      <c r="U34" s="74"/>
      <c r="V34" s="74"/>
      <c r="W34" s="74"/>
      <c r="X34" s="74"/>
      <c r="Y34" s="74"/>
      <c r="Z34" s="74"/>
      <c r="AA34" s="74"/>
      <c r="AB34" s="74"/>
      <c r="AC34" s="74"/>
      <c r="AD34" s="74"/>
      <c r="AE34" s="74"/>
      <c r="AF34" s="74"/>
      <c r="AG34" s="74"/>
      <c r="AH34" s="74"/>
      <c r="AI34" s="74"/>
      <c r="AJ34" s="74"/>
      <c r="AK34" s="74"/>
      <c r="AL34" s="74"/>
      <c r="AM34" s="74"/>
      <c r="AN34" s="74"/>
      <c r="AO34" s="74"/>
      <c r="AP34" s="74"/>
      <c r="AQ34" s="74"/>
      <c r="AR34" s="74"/>
      <c r="AS34" s="74"/>
      <c r="AT34" s="74"/>
      <c r="AU34" s="74"/>
      <c r="AV34" s="74"/>
      <c r="AW34" s="74"/>
      <c r="AX34" s="74"/>
      <c r="AY34" s="74"/>
      <c r="AZ34" s="74"/>
      <c r="BA34" s="74"/>
      <c r="BB34" s="74"/>
      <c r="BC34" s="74"/>
      <c r="BD34" s="74"/>
      <c r="BE34" s="74"/>
      <c r="BF34" s="74"/>
      <c r="BG34" s="74"/>
      <c r="BH34" s="74"/>
      <c r="BI34" s="74"/>
      <c r="BJ34" s="74"/>
      <c r="BK34" s="74"/>
      <c r="BL34" s="74"/>
      <c r="BM34" s="74"/>
      <c r="BN34" s="74"/>
      <c r="BO34" s="74"/>
      <c r="BP34" s="74"/>
      <c r="BQ34" s="74"/>
      <c r="BR34" s="74"/>
      <c r="BS34" s="74"/>
      <c r="BT34" s="74"/>
      <c r="BU34" s="74"/>
      <c r="BV34" s="74"/>
      <c r="BW34" s="74"/>
      <c r="BX34" s="74"/>
      <c r="BY34" s="74"/>
      <c r="BZ34" s="75"/>
    </row>
    <row r="35" spans="1:78" x14ac:dyDescent="0.2">
      <c r="A35" s="48"/>
      <c r="B35" s="44"/>
      <c r="C35" s="82"/>
      <c r="D35" s="82"/>
      <c r="E35" s="61"/>
      <c r="F35" s="73"/>
      <c r="G35" s="74"/>
      <c r="H35" s="74"/>
      <c r="I35" s="74"/>
      <c r="J35" s="74"/>
      <c r="K35" s="74"/>
      <c r="L35" s="74"/>
      <c r="M35" s="74"/>
      <c r="N35" s="74"/>
      <c r="O35" s="74"/>
      <c r="P35" s="74"/>
      <c r="Q35" s="74"/>
      <c r="R35" s="74"/>
      <c r="S35" s="74"/>
      <c r="T35" s="74"/>
      <c r="U35" s="74"/>
      <c r="V35" s="74"/>
      <c r="W35" s="74"/>
      <c r="X35" s="74"/>
      <c r="Y35" s="74"/>
      <c r="Z35" s="74"/>
      <c r="AA35" s="74"/>
      <c r="AB35" s="74"/>
      <c r="AC35" s="74"/>
      <c r="AD35" s="74"/>
      <c r="AE35" s="74"/>
      <c r="AF35" s="74"/>
      <c r="AG35" s="74"/>
      <c r="AH35" s="74"/>
      <c r="AI35" s="74"/>
      <c r="AJ35" s="74"/>
      <c r="AK35" s="74"/>
      <c r="AL35" s="74"/>
      <c r="AM35" s="74"/>
      <c r="AN35" s="74"/>
      <c r="AO35" s="74"/>
      <c r="AP35" s="74"/>
      <c r="AQ35" s="74"/>
      <c r="AR35" s="74"/>
      <c r="AS35" s="74"/>
      <c r="AT35" s="74"/>
      <c r="AU35" s="74"/>
      <c r="AV35" s="74"/>
      <c r="AW35" s="74"/>
      <c r="AX35" s="74"/>
      <c r="AY35" s="74"/>
      <c r="AZ35" s="74"/>
      <c r="BA35" s="74"/>
      <c r="BB35" s="74"/>
      <c r="BC35" s="74"/>
      <c r="BD35" s="74"/>
      <c r="BE35" s="74"/>
      <c r="BF35" s="74"/>
      <c r="BG35" s="74"/>
      <c r="BH35" s="74"/>
      <c r="BI35" s="74"/>
      <c r="BJ35" s="74"/>
      <c r="BK35" s="74"/>
      <c r="BL35" s="74"/>
      <c r="BM35" s="74"/>
      <c r="BN35" s="74"/>
      <c r="BO35" s="74"/>
      <c r="BP35" s="74"/>
      <c r="BQ35" s="74"/>
      <c r="BR35" s="74"/>
      <c r="BS35" s="74"/>
      <c r="BT35" s="74"/>
      <c r="BU35" s="74"/>
      <c r="BV35" s="74"/>
      <c r="BW35" s="74"/>
      <c r="BX35" s="74"/>
      <c r="BY35" s="74"/>
      <c r="BZ35" s="75"/>
    </row>
    <row r="36" spans="1:78" x14ac:dyDescent="0.2">
      <c r="A36" s="48"/>
      <c r="B36" s="44"/>
      <c r="C36" s="82"/>
      <c r="D36" s="82"/>
      <c r="E36" s="61"/>
      <c r="F36" s="73"/>
      <c r="G36" s="74"/>
      <c r="H36" s="74"/>
      <c r="I36" s="74"/>
      <c r="J36" s="74"/>
      <c r="K36" s="74"/>
      <c r="L36" s="74"/>
      <c r="M36" s="74"/>
      <c r="N36" s="74"/>
      <c r="O36" s="74"/>
      <c r="P36" s="74"/>
      <c r="Q36" s="74"/>
      <c r="R36" s="74"/>
      <c r="S36" s="74"/>
      <c r="T36" s="74"/>
      <c r="U36" s="74"/>
      <c r="V36" s="74"/>
      <c r="W36" s="74"/>
      <c r="X36" s="74"/>
      <c r="Y36" s="74"/>
      <c r="Z36" s="74"/>
      <c r="AA36" s="74"/>
      <c r="AB36" s="74"/>
      <c r="AC36" s="74"/>
      <c r="AD36" s="74"/>
      <c r="AE36" s="74"/>
      <c r="AF36" s="74"/>
      <c r="AG36" s="74"/>
      <c r="AH36" s="74"/>
      <c r="AI36" s="74"/>
      <c r="AJ36" s="74"/>
      <c r="AK36" s="74"/>
      <c r="AL36" s="74"/>
      <c r="AM36" s="74"/>
      <c r="AN36" s="74"/>
      <c r="AO36" s="74"/>
      <c r="AP36" s="74"/>
      <c r="AQ36" s="74"/>
      <c r="AR36" s="74"/>
      <c r="AS36" s="74"/>
      <c r="AT36" s="74"/>
      <c r="AU36" s="74"/>
      <c r="AV36" s="74"/>
      <c r="AW36" s="74"/>
      <c r="AX36" s="74"/>
      <c r="AY36" s="74"/>
      <c r="AZ36" s="74"/>
      <c r="BA36" s="74"/>
      <c r="BB36" s="74"/>
      <c r="BC36" s="74"/>
      <c r="BD36" s="74"/>
      <c r="BE36" s="74"/>
      <c r="BF36" s="74"/>
      <c r="BG36" s="74"/>
      <c r="BH36" s="74"/>
      <c r="BI36" s="74"/>
      <c r="BJ36" s="74"/>
      <c r="BK36" s="74"/>
      <c r="BL36" s="74"/>
      <c r="BM36" s="74"/>
      <c r="BN36" s="74"/>
      <c r="BO36" s="74"/>
      <c r="BP36" s="74"/>
      <c r="BQ36" s="74"/>
      <c r="BR36" s="74"/>
      <c r="BS36" s="74"/>
      <c r="BT36" s="74"/>
      <c r="BU36" s="74"/>
      <c r="BV36" s="74"/>
      <c r="BW36" s="74"/>
      <c r="BX36" s="74"/>
      <c r="BY36" s="74"/>
      <c r="BZ36" s="75"/>
    </row>
    <row r="37" spans="1:78" x14ac:dyDescent="0.2">
      <c r="A37" s="48"/>
      <c r="B37" s="44"/>
      <c r="C37" s="82"/>
      <c r="D37" s="82"/>
      <c r="E37" s="61"/>
      <c r="F37" s="49"/>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c r="BI37" s="50"/>
      <c r="BJ37" s="50"/>
      <c r="BK37" s="50"/>
      <c r="BL37" s="50"/>
      <c r="BM37" s="50"/>
      <c r="BN37" s="50"/>
      <c r="BO37" s="50"/>
      <c r="BP37" s="50"/>
      <c r="BQ37" s="50"/>
      <c r="BR37" s="50"/>
      <c r="BS37" s="50"/>
      <c r="BT37" s="50"/>
      <c r="BU37" s="50"/>
      <c r="BV37" s="50"/>
      <c r="BW37" s="50"/>
      <c r="BX37" s="50"/>
      <c r="BY37" s="50"/>
      <c r="BZ37" s="51"/>
    </row>
    <row r="38" spans="1:78" x14ac:dyDescent="0.2">
      <c r="A38" s="62"/>
      <c r="B38" s="44"/>
      <c r="C38" s="82"/>
      <c r="D38" s="82"/>
      <c r="E38" s="61"/>
      <c r="F38" s="73"/>
      <c r="G38" s="74"/>
      <c r="H38" s="74"/>
      <c r="I38" s="74"/>
      <c r="J38" s="74"/>
      <c r="K38" s="74"/>
      <c r="L38" s="74"/>
      <c r="M38" s="74"/>
      <c r="N38" s="74"/>
      <c r="O38" s="74"/>
      <c r="P38" s="74"/>
      <c r="Q38" s="74"/>
      <c r="R38" s="74"/>
      <c r="S38" s="74"/>
      <c r="T38" s="74"/>
      <c r="U38" s="74"/>
      <c r="V38" s="74"/>
      <c r="W38" s="74"/>
      <c r="X38" s="74"/>
      <c r="Y38" s="74"/>
      <c r="Z38" s="74"/>
      <c r="AA38" s="74"/>
      <c r="AB38" s="74"/>
      <c r="AC38" s="74"/>
      <c r="AD38" s="74"/>
      <c r="AE38" s="74"/>
      <c r="AF38" s="74"/>
      <c r="AG38" s="74"/>
      <c r="AH38" s="74"/>
      <c r="AI38" s="74"/>
      <c r="AJ38" s="74"/>
      <c r="AK38" s="74"/>
      <c r="AL38" s="74"/>
      <c r="AM38" s="74"/>
      <c r="AN38" s="74"/>
      <c r="AO38" s="74"/>
      <c r="AP38" s="74"/>
      <c r="AQ38" s="74"/>
      <c r="AR38" s="74"/>
      <c r="AS38" s="74"/>
      <c r="AT38" s="74"/>
      <c r="AU38" s="74"/>
      <c r="AV38" s="74"/>
      <c r="AW38" s="74"/>
      <c r="AX38" s="74"/>
      <c r="AY38" s="74"/>
      <c r="AZ38" s="74"/>
      <c r="BA38" s="74"/>
      <c r="BB38" s="74"/>
      <c r="BC38" s="74"/>
      <c r="BD38" s="74"/>
      <c r="BE38" s="74"/>
      <c r="BF38" s="74"/>
      <c r="BG38" s="74"/>
      <c r="BH38" s="74"/>
      <c r="BI38" s="74"/>
      <c r="BJ38" s="74"/>
      <c r="BK38" s="74"/>
      <c r="BL38" s="74"/>
      <c r="BM38" s="74"/>
      <c r="BN38" s="74"/>
      <c r="BO38" s="74"/>
      <c r="BP38" s="74"/>
      <c r="BQ38" s="74"/>
      <c r="BR38" s="74"/>
      <c r="BS38" s="74"/>
      <c r="BT38" s="74"/>
      <c r="BU38" s="74"/>
      <c r="BV38" s="74"/>
      <c r="BW38" s="74"/>
      <c r="BX38" s="74"/>
      <c r="BY38" s="74"/>
      <c r="BZ38" s="75"/>
    </row>
    <row r="39" spans="1:78" x14ac:dyDescent="0.2">
      <c r="A39" s="48"/>
      <c r="B39" s="44"/>
      <c r="C39" s="82"/>
      <c r="D39" s="82"/>
      <c r="E39" s="61"/>
      <c r="F39" s="49"/>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0"/>
      <c r="AQ39" s="50"/>
      <c r="AR39" s="50"/>
      <c r="AS39" s="50"/>
      <c r="AT39" s="50"/>
      <c r="AU39" s="50"/>
      <c r="AV39" s="50"/>
      <c r="AW39" s="50"/>
      <c r="AX39" s="50"/>
      <c r="AY39" s="50"/>
      <c r="AZ39" s="50"/>
      <c r="BA39" s="50"/>
      <c r="BB39" s="50"/>
      <c r="BC39" s="50"/>
      <c r="BD39" s="50"/>
      <c r="BE39" s="50"/>
      <c r="BF39" s="50"/>
      <c r="BG39" s="50"/>
      <c r="BH39" s="50"/>
      <c r="BI39" s="50"/>
      <c r="BJ39" s="50"/>
      <c r="BK39" s="50"/>
      <c r="BL39" s="50"/>
      <c r="BM39" s="50"/>
      <c r="BN39" s="50"/>
      <c r="BO39" s="50"/>
      <c r="BP39" s="50"/>
      <c r="BQ39" s="50"/>
      <c r="BR39" s="50"/>
      <c r="BS39" s="50"/>
      <c r="BT39" s="50"/>
      <c r="BU39" s="50"/>
      <c r="BV39" s="50"/>
      <c r="BW39" s="50"/>
      <c r="BX39" s="50"/>
      <c r="BY39" s="50"/>
      <c r="BZ39" s="51"/>
    </row>
    <row r="40" spans="1:78" x14ac:dyDescent="0.2">
      <c r="A40" s="48"/>
      <c r="B40" s="44"/>
      <c r="C40" s="82"/>
      <c r="D40" s="82"/>
      <c r="E40" s="61"/>
      <c r="F40" s="49"/>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c r="AP40" s="50"/>
      <c r="AQ40" s="50"/>
      <c r="AR40" s="50"/>
      <c r="AS40" s="50"/>
      <c r="AT40" s="50"/>
      <c r="AU40" s="50"/>
      <c r="AV40" s="50"/>
      <c r="AW40" s="50"/>
      <c r="AX40" s="50"/>
      <c r="AY40" s="50"/>
      <c r="AZ40" s="50"/>
      <c r="BA40" s="50"/>
      <c r="BB40" s="50"/>
      <c r="BC40" s="50"/>
      <c r="BD40" s="50"/>
      <c r="BE40" s="50"/>
      <c r="BF40" s="50"/>
      <c r="BG40" s="50"/>
      <c r="BH40" s="50"/>
      <c r="BI40" s="50"/>
      <c r="BJ40" s="50"/>
      <c r="BK40" s="50"/>
      <c r="BL40" s="50"/>
      <c r="BM40" s="50"/>
      <c r="BN40" s="50"/>
      <c r="BO40" s="50"/>
      <c r="BP40" s="50"/>
      <c r="BQ40" s="50"/>
      <c r="BR40" s="50"/>
      <c r="BS40" s="50"/>
      <c r="BT40" s="50"/>
      <c r="BU40" s="50"/>
      <c r="BV40" s="50"/>
      <c r="BW40" s="50"/>
      <c r="BX40" s="50"/>
      <c r="BY40" s="50"/>
      <c r="BZ40" s="51"/>
    </row>
    <row r="41" spans="1:78" x14ac:dyDescent="0.2">
      <c r="A41" s="52"/>
      <c r="B41" s="44"/>
      <c r="C41" s="82"/>
      <c r="D41" s="82"/>
      <c r="E41" s="61"/>
      <c r="F41" s="49"/>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c r="BI41" s="50"/>
      <c r="BJ41" s="50"/>
      <c r="BK41" s="50"/>
      <c r="BL41" s="50"/>
      <c r="BM41" s="50"/>
      <c r="BN41" s="50"/>
      <c r="BO41" s="50"/>
      <c r="BP41" s="50"/>
      <c r="BQ41" s="50"/>
      <c r="BR41" s="50"/>
      <c r="BS41" s="50"/>
      <c r="BT41" s="50"/>
      <c r="BU41" s="50"/>
      <c r="BV41" s="50"/>
      <c r="BW41" s="50"/>
      <c r="BX41" s="50"/>
      <c r="BY41" s="50"/>
      <c r="BZ41" s="51"/>
    </row>
    <row r="42" spans="1:78" x14ac:dyDescent="0.2">
      <c r="A42" s="52"/>
      <c r="B42" s="44"/>
      <c r="C42" s="82"/>
      <c r="D42" s="82"/>
      <c r="E42" s="61"/>
      <c r="F42" s="49"/>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W42" s="50"/>
      <c r="AX42" s="50"/>
      <c r="AY42" s="50"/>
      <c r="AZ42" s="50"/>
      <c r="BA42" s="50"/>
      <c r="BB42" s="50"/>
      <c r="BC42" s="50"/>
      <c r="BD42" s="50"/>
      <c r="BE42" s="50"/>
      <c r="BF42" s="50"/>
      <c r="BG42" s="50"/>
      <c r="BH42" s="50"/>
      <c r="BI42" s="50"/>
      <c r="BJ42" s="50"/>
      <c r="BK42" s="50"/>
      <c r="BL42" s="50"/>
      <c r="BM42" s="50"/>
      <c r="BN42" s="50"/>
      <c r="BO42" s="50"/>
      <c r="BP42" s="50"/>
      <c r="BQ42" s="50"/>
      <c r="BR42" s="50"/>
      <c r="BS42" s="50"/>
      <c r="BT42" s="50"/>
      <c r="BU42" s="50"/>
      <c r="BV42" s="50"/>
      <c r="BW42" s="50"/>
      <c r="BX42" s="50"/>
      <c r="BY42" s="50"/>
      <c r="BZ42" s="51"/>
    </row>
    <row r="43" spans="1:78" x14ac:dyDescent="0.2">
      <c r="A43" s="48"/>
      <c r="B43" s="44"/>
      <c r="C43" s="82"/>
      <c r="D43" s="82"/>
      <c r="E43" s="61"/>
      <c r="F43" s="49"/>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c r="AP43" s="50"/>
      <c r="AQ43" s="50"/>
      <c r="AR43" s="50"/>
      <c r="AS43" s="50"/>
      <c r="AT43" s="50"/>
      <c r="AU43" s="50"/>
      <c r="AV43" s="50"/>
      <c r="AW43" s="50"/>
      <c r="AX43" s="50"/>
      <c r="AY43" s="50"/>
      <c r="AZ43" s="50"/>
      <c r="BA43" s="50"/>
      <c r="BB43" s="50"/>
      <c r="BC43" s="50"/>
      <c r="BD43" s="50"/>
      <c r="BE43" s="50"/>
      <c r="BF43" s="50"/>
      <c r="BG43" s="50"/>
      <c r="BH43" s="50"/>
      <c r="BI43" s="50"/>
      <c r="BJ43" s="50"/>
      <c r="BK43" s="50"/>
      <c r="BL43" s="50"/>
      <c r="BM43" s="50"/>
      <c r="BN43" s="50"/>
      <c r="BO43" s="50"/>
      <c r="BP43" s="50"/>
      <c r="BQ43" s="50"/>
      <c r="BR43" s="50"/>
      <c r="BS43" s="50"/>
      <c r="BT43" s="50"/>
      <c r="BU43" s="50"/>
      <c r="BV43" s="50"/>
      <c r="BW43" s="50"/>
      <c r="BX43" s="50"/>
      <c r="BY43" s="50"/>
      <c r="BZ43" s="51"/>
    </row>
    <row r="44" spans="1:78" x14ac:dyDescent="0.2">
      <c r="A44" s="48"/>
      <c r="B44" s="44"/>
      <c r="C44" s="82"/>
      <c r="D44" s="82"/>
      <c r="E44" s="61"/>
      <c r="F44" s="54"/>
      <c r="G44" s="55"/>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64"/>
      <c r="AU44" s="55"/>
      <c r="AV44" s="55"/>
      <c r="AW44" s="50"/>
      <c r="AX44" s="55"/>
      <c r="AY44" s="55"/>
      <c r="AZ44" s="55"/>
      <c r="BA44" s="55"/>
      <c r="BB44" s="50"/>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6"/>
    </row>
    <row r="45" spans="1:78" x14ac:dyDescent="0.2">
      <c r="A45" s="52"/>
      <c r="B45" s="44"/>
      <c r="C45" s="82"/>
      <c r="D45" s="82"/>
      <c r="E45" s="61"/>
      <c r="F45" s="49"/>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W45" s="50"/>
      <c r="AX45" s="50"/>
      <c r="AY45" s="50"/>
      <c r="AZ45" s="50"/>
      <c r="BA45" s="50"/>
      <c r="BB45" s="50"/>
      <c r="BC45" s="50"/>
      <c r="BD45" s="50"/>
      <c r="BE45" s="50"/>
      <c r="BF45" s="50"/>
      <c r="BG45" s="50"/>
      <c r="BH45" s="50"/>
      <c r="BI45" s="50"/>
      <c r="BJ45" s="50"/>
      <c r="BK45" s="50"/>
      <c r="BL45" s="50"/>
      <c r="BM45" s="50"/>
      <c r="BN45" s="50"/>
      <c r="BO45" s="50"/>
      <c r="BP45" s="50"/>
      <c r="BQ45" s="50"/>
      <c r="BR45" s="50"/>
      <c r="BS45" s="50"/>
      <c r="BT45" s="50"/>
      <c r="BU45" s="50"/>
      <c r="BV45" s="50"/>
      <c r="BW45" s="50"/>
      <c r="BX45" s="50"/>
      <c r="BY45" s="50"/>
      <c r="BZ45" s="51"/>
    </row>
    <row r="46" spans="1:78" x14ac:dyDescent="0.2">
      <c r="A46" s="48"/>
      <c r="B46" s="44"/>
      <c r="C46" s="82"/>
      <c r="D46" s="82"/>
      <c r="E46" s="65"/>
      <c r="F46" s="49"/>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W46" s="50"/>
      <c r="AX46" s="50"/>
      <c r="AY46" s="50"/>
      <c r="AZ46" s="50"/>
      <c r="BA46" s="50"/>
      <c r="BB46" s="50"/>
      <c r="BC46" s="50"/>
      <c r="BD46" s="50"/>
      <c r="BE46" s="50"/>
      <c r="BF46" s="50"/>
      <c r="BG46" s="50"/>
      <c r="BH46" s="50"/>
      <c r="BI46" s="50"/>
      <c r="BJ46" s="50"/>
      <c r="BK46" s="50"/>
      <c r="BL46" s="50"/>
      <c r="BM46" s="50"/>
      <c r="BN46" s="50"/>
      <c r="BO46" s="50"/>
      <c r="BP46" s="50"/>
      <c r="BQ46" s="50"/>
      <c r="BR46" s="50"/>
      <c r="BS46" s="50"/>
      <c r="BT46" s="50"/>
      <c r="BU46" s="50"/>
      <c r="BV46" s="50"/>
      <c r="BW46" s="50"/>
      <c r="BX46" s="50"/>
      <c r="BY46" s="50"/>
      <c r="BZ46" s="51"/>
    </row>
    <row r="47" spans="1:78" x14ac:dyDescent="0.2">
      <c r="A47" s="48"/>
      <c r="B47" s="44"/>
      <c r="C47" s="82"/>
      <c r="D47" s="82"/>
      <c r="E47" s="61"/>
      <c r="F47" s="49"/>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c r="AP47" s="50"/>
      <c r="AQ47" s="50"/>
      <c r="AR47" s="50"/>
      <c r="AS47" s="50"/>
      <c r="AT47" s="50"/>
      <c r="AU47" s="50"/>
      <c r="AV47" s="50"/>
      <c r="AW47" s="50"/>
      <c r="AX47" s="50"/>
      <c r="AY47" s="50"/>
      <c r="AZ47" s="50"/>
      <c r="BA47" s="50"/>
      <c r="BB47" s="50"/>
      <c r="BC47" s="50"/>
      <c r="BD47" s="50"/>
      <c r="BE47" s="50"/>
      <c r="BF47" s="50"/>
      <c r="BG47" s="50"/>
      <c r="BH47" s="50"/>
      <c r="BI47" s="50"/>
      <c r="BJ47" s="50"/>
      <c r="BK47" s="50"/>
      <c r="BL47" s="50"/>
      <c r="BM47" s="50"/>
      <c r="BN47" s="50"/>
      <c r="BO47" s="50"/>
      <c r="BP47" s="50"/>
      <c r="BQ47" s="50"/>
      <c r="BR47" s="50"/>
      <c r="BS47" s="50"/>
      <c r="BT47" s="50"/>
      <c r="BU47" s="50"/>
      <c r="BV47" s="50"/>
      <c r="BW47" s="50"/>
      <c r="BX47" s="50"/>
      <c r="BY47" s="50"/>
      <c r="BZ47" s="51"/>
    </row>
    <row r="48" spans="1:78" x14ac:dyDescent="0.2">
      <c r="A48" s="48"/>
      <c r="B48" s="44"/>
      <c r="C48" s="82"/>
      <c r="D48" s="82"/>
      <c r="E48" s="61"/>
      <c r="F48" s="49"/>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c r="AP48" s="50"/>
      <c r="AQ48" s="50"/>
      <c r="AR48" s="50"/>
      <c r="AS48" s="50"/>
      <c r="AT48" s="50"/>
      <c r="AU48" s="50"/>
      <c r="AV48" s="50"/>
      <c r="AW48" s="50"/>
      <c r="AX48" s="50"/>
      <c r="AY48" s="50"/>
      <c r="AZ48" s="50"/>
      <c r="BA48" s="50"/>
      <c r="BB48" s="50"/>
      <c r="BC48" s="50"/>
      <c r="BD48" s="50"/>
      <c r="BE48" s="50"/>
      <c r="BF48" s="50"/>
      <c r="BG48" s="50"/>
      <c r="BH48" s="50"/>
      <c r="BI48" s="50"/>
      <c r="BJ48" s="50"/>
      <c r="BK48" s="50"/>
      <c r="BL48" s="50"/>
      <c r="BM48" s="50"/>
      <c r="BN48" s="50"/>
      <c r="BO48" s="50"/>
      <c r="BP48" s="50"/>
      <c r="BQ48" s="50"/>
      <c r="BR48" s="50"/>
      <c r="BS48" s="50"/>
      <c r="BT48" s="50"/>
      <c r="BU48" s="50"/>
      <c r="BV48" s="50"/>
      <c r="BW48" s="50"/>
      <c r="BX48" s="50"/>
      <c r="BY48" s="50"/>
      <c r="BZ48" s="51"/>
    </row>
    <row r="49" spans="1:78" x14ac:dyDescent="0.2">
      <c r="A49" s="52"/>
      <c r="B49" s="44"/>
      <c r="C49" s="82"/>
      <c r="D49" s="82"/>
      <c r="E49" s="61"/>
      <c r="F49" s="49"/>
      <c r="G49" s="50"/>
      <c r="H49" s="50"/>
      <c r="I49" s="5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0"/>
      <c r="BM49" s="50"/>
      <c r="BN49" s="50"/>
      <c r="BO49" s="50"/>
      <c r="BP49" s="50"/>
      <c r="BQ49" s="50"/>
      <c r="BR49" s="50"/>
      <c r="BS49" s="50"/>
      <c r="BT49" s="50"/>
      <c r="BU49" s="50"/>
      <c r="BV49" s="50"/>
      <c r="BW49" s="50"/>
      <c r="BX49" s="50"/>
      <c r="BY49" s="50"/>
      <c r="BZ49" s="51"/>
    </row>
    <row r="50" spans="1:78" x14ac:dyDescent="0.2">
      <c r="A50" s="48"/>
      <c r="B50" s="44"/>
      <c r="C50" s="82"/>
      <c r="D50" s="82"/>
      <c r="E50" s="61"/>
      <c r="F50" s="49"/>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W50" s="50"/>
      <c r="AX50" s="50"/>
      <c r="AY50" s="50"/>
      <c r="AZ50" s="50"/>
      <c r="BA50" s="50"/>
      <c r="BB50" s="50"/>
      <c r="BC50" s="50"/>
      <c r="BD50" s="50"/>
      <c r="BE50" s="50"/>
      <c r="BF50" s="50"/>
      <c r="BG50" s="50"/>
      <c r="BH50" s="50"/>
      <c r="BI50" s="50"/>
      <c r="BJ50" s="50"/>
      <c r="BK50" s="50"/>
      <c r="BL50" s="50"/>
      <c r="BM50" s="50"/>
      <c r="BN50" s="50"/>
      <c r="BO50" s="50"/>
      <c r="BP50" s="50"/>
      <c r="BQ50" s="50"/>
      <c r="BR50" s="50"/>
      <c r="BS50" s="50"/>
      <c r="BT50" s="50"/>
      <c r="BU50" s="50"/>
      <c r="BV50" s="50"/>
      <c r="BW50" s="50"/>
      <c r="BX50" s="50"/>
      <c r="BY50" s="50"/>
      <c r="BZ50" s="51"/>
    </row>
    <row r="51" spans="1:78" x14ac:dyDescent="0.2">
      <c r="A51" s="48"/>
      <c r="B51" s="44"/>
      <c r="C51" s="82"/>
      <c r="D51" s="82"/>
      <c r="E51" s="61"/>
      <c r="F51" s="49"/>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c r="BT51" s="50"/>
      <c r="BU51" s="50"/>
      <c r="BV51" s="50"/>
      <c r="BW51" s="50"/>
      <c r="BX51" s="50"/>
      <c r="BY51" s="50"/>
      <c r="BZ51" s="51"/>
    </row>
    <row r="52" spans="1:78" x14ac:dyDescent="0.2">
      <c r="A52" s="48"/>
      <c r="B52" s="44"/>
      <c r="C52" s="82"/>
      <c r="D52" s="82"/>
      <c r="E52" s="61"/>
      <c r="F52" s="49"/>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c r="BT52" s="50"/>
      <c r="BU52" s="50"/>
      <c r="BV52" s="50"/>
      <c r="BW52" s="50"/>
      <c r="BX52" s="50"/>
      <c r="BY52" s="50"/>
      <c r="BZ52" s="51"/>
    </row>
    <row r="53" spans="1:78" x14ac:dyDescent="0.2">
      <c r="A53" s="52"/>
      <c r="B53" s="44"/>
      <c r="C53" s="82"/>
      <c r="D53" s="82"/>
      <c r="E53" s="61"/>
      <c r="F53" s="49"/>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c r="AP53" s="50"/>
      <c r="AQ53" s="50"/>
      <c r="AR53" s="50"/>
      <c r="AS53" s="50"/>
      <c r="AT53" s="50"/>
      <c r="AU53" s="50"/>
      <c r="AV53" s="50"/>
      <c r="AW53" s="50"/>
      <c r="AX53" s="50"/>
      <c r="AY53" s="50"/>
      <c r="AZ53" s="50"/>
      <c r="BA53" s="50"/>
      <c r="BB53" s="50"/>
      <c r="BC53" s="50"/>
      <c r="BD53" s="50"/>
      <c r="BE53" s="50"/>
      <c r="BF53" s="50"/>
      <c r="BG53" s="50"/>
      <c r="BH53" s="50"/>
      <c r="BI53" s="50"/>
      <c r="BJ53" s="50"/>
      <c r="BK53" s="50"/>
      <c r="BL53" s="50"/>
      <c r="BM53" s="50"/>
      <c r="BN53" s="50"/>
      <c r="BO53" s="50"/>
      <c r="BP53" s="50"/>
      <c r="BQ53" s="50"/>
      <c r="BR53" s="50"/>
      <c r="BS53" s="50"/>
      <c r="BT53" s="50"/>
      <c r="BU53" s="50"/>
      <c r="BV53" s="50"/>
      <c r="BW53" s="50"/>
      <c r="BX53" s="50"/>
      <c r="BY53" s="50"/>
      <c r="BZ53" s="51"/>
    </row>
    <row r="54" spans="1:78" x14ac:dyDescent="0.2">
      <c r="A54" s="48"/>
      <c r="B54" s="44"/>
      <c r="C54" s="82"/>
      <c r="D54" s="82"/>
      <c r="E54" s="61"/>
      <c r="F54" s="49"/>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c r="AP54" s="50"/>
      <c r="AQ54" s="50"/>
      <c r="AR54" s="50"/>
      <c r="AS54" s="50"/>
      <c r="AT54" s="50"/>
      <c r="AU54" s="50"/>
      <c r="AV54" s="50"/>
      <c r="AW54" s="50"/>
      <c r="AX54" s="50"/>
      <c r="AY54" s="50"/>
      <c r="AZ54" s="50"/>
      <c r="BA54" s="50"/>
      <c r="BB54" s="50"/>
      <c r="BC54" s="50"/>
      <c r="BD54" s="50"/>
      <c r="BE54" s="50"/>
      <c r="BF54" s="50"/>
      <c r="BG54" s="50"/>
      <c r="BH54" s="50"/>
      <c r="BI54" s="50"/>
      <c r="BJ54" s="50"/>
      <c r="BK54" s="50"/>
      <c r="BL54" s="50"/>
      <c r="BM54" s="50"/>
      <c r="BN54" s="50"/>
      <c r="BO54" s="50"/>
      <c r="BP54" s="50"/>
      <c r="BQ54" s="50"/>
      <c r="BR54" s="50"/>
      <c r="BS54" s="50"/>
      <c r="BT54" s="50"/>
      <c r="BU54" s="50"/>
      <c r="BV54" s="50"/>
      <c r="BW54" s="50"/>
      <c r="BX54" s="50"/>
      <c r="BY54" s="50"/>
      <c r="BZ54" s="51"/>
    </row>
    <row r="55" spans="1:78" x14ac:dyDescent="0.2">
      <c r="A55" s="52"/>
      <c r="B55" s="44"/>
      <c r="C55" s="82"/>
      <c r="D55" s="82"/>
      <c r="E55" s="61"/>
      <c r="F55" s="49"/>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c r="AV55" s="50"/>
      <c r="AW55" s="50"/>
      <c r="AX55" s="50"/>
      <c r="AY55" s="50"/>
      <c r="AZ55" s="50"/>
      <c r="BA55" s="50"/>
      <c r="BB55" s="50"/>
      <c r="BC55" s="50"/>
      <c r="BD55" s="50"/>
      <c r="BE55" s="50"/>
      <c r="BF55" s="50"/>
      <c r="BG55" s="50"/>
      <c r="BH55" s="50"/>
      <c r="BI55" s="50"/>
      <c r="BJ55" s="50"/>
      <c r="BK55" s="50"/>
      <c r="BL55" s="50"/>
      <c r="BM55" s="50"/>
      <c r="BN55" s="50"/>
      <c r="BO55" s="50"/>
      <c r="BP55" s="50"/>
      <c r="BQ55" s="50"/>
      <c r="BR55" s="50"/>
      <c r="BS55" s="50"/>
      <c r="BT55" s="50"/>
      <c r="BU55" s="50"/>
      <c r="BV55" s="50"/>
      <c r="BW55" s="50"/>
      <c r="BX55" s="50"/>
      <c r="BY55" s="50"/>
      <c r="BZ55" s="51"/>
    </row>
    <row r="56" spans="1:78" x14ac:dyDescent="0.2">
      <c r="A56" s="48"/>
      <c r="B56" s="44"/>
      <c r="C56" s="82"/>
      <c r="D56" s="82"/>
      <c r="E56" s="61"/>
      <c r="F56" s="49"/>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1"/>
    </row>
    <row r="57" spans="1:78" x14ac:dyDescent="0.2">
      <c r="A57" s="48"/>
      <c r="B57" s="44"/>
      <c r="C57" s="82"/>
      <c r="D57" s="82"/>
      <c r="E57" s="61"/>
      <c r="F57" s="49"/>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c r="AP57" s="50"/>
      <c r="AQ57" s="50"/>
      <c r="AR57" s="50"/>
      <c r="AS57" s="50"/>
      <c r="AT57" s="50"/>
      <c r="AU57" s="50"/>
      <c r="AV57" s="50"/>
      <c r="AW57" s="50"/>
      <c r="AX57" s="50"/>
      <c r="AY57" s="50"/>
      <c r="AZ57" s="50"/>
      <c r="BA57" s="50"/>
      <c r="BB57" s="50"/>
      <c r="BC57" s="50"/>
      <c r="BD57" s="50"/>
      <c r="BE57" s="50"/>
      <c r="BF57" s="50"/>
      <c r="BG57" s="50"/>
      <c r="BH57" s="50"/>
      <c r="BI57" s="50"/>
      <c r="BJ57" s="50"/>
      <c r="BK57" s="50"/>
      <c r="BL57" s="50"/>
      <c r="BM57" s="50"/>
      <c r="BN57" s="50"/>
      <c r="BO57" s="50"/>
      <c r="BP57" s="50"/>
      <c r="BQ57" s="50"/>
      <c r="BR57" s="50"/>
      <c r="BS57" s="50"/>
      <c r="BT57" s="50"/>
      <c r="BU57" s="50"/>
      <c r="BV57" s="50"/>
      <c r="BW57" s="50"/>
      <c r="BX57" s="50"/>
      <c r="BY57" s="50"/>
      <c r="BZ57" s="51"/>
    </row>
    <row r="58" spans="1:78" x14ac:dyDescent="0.2">
      <c r="A58" s="48"/>
      <c r="B58" s="44"/>
      <c r="C58" s="82"/>
      <c r="D58" s="82"/>
      <c r="E58" s="61"/>
      <c r="F58" s="49"/>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c r="AP58" s="50"/>
      <c r="AQ58" s="50"/>
      <c r="AR58" s="50"/>
      <c r="AS58" s="50"/>
      <c r="AT58" s="50"/>
      <c r="AU58" s="50"/>
      <c r="AV58" s="50"/>
      <c r="AW58" s="50"/>
      <c r="AX58" s="50"/>
      <c r="AY58" s="50"/>
      <c r="AZ58" s="50"/>
      <c r="BA58" s="50"/>
      <c r="BB58" s="50"/>
      <c r="BC58" s="50"/>
      <c r="BD58" s="50"/>
      <c r="BE58" s="50"/>
      <c r="BF58" s="50"/>
      <c r="BG58" s="50"/>
      <c r="BH58" s="50"/>
      <c r="BI58" s="50"/>
      <c r="BJ58" s="50"/>
      <c r="BK58" s="50"/>
      <c r="BL58" s="50"/>
      <c r="BM58" s="50"/>
      <c r="BN58" s="50"/>
      <c r="BO58" s="50"/>
      <c r="BP58" s="50"/>
      <c r="BQ58" s="50"/>
      <c r="BR58" s="50"/>
      <c r="BS58" s="50"/>
      <c r="BT58" s="50"/>
      <c r="BU58" s="50"/>
      <c r="BV58" s="50"/>
      <c r="BW58" s="50"/>
      <c r="BX58" s="50"/>
      <c r="BY58" s="50"/>
      <c r="BZ58" s="51"/>
    </row>
    <row r="59" spans="1:78" x14ac:dyDescent="0.2">
      <c r="A59" s="52"/>
      <c r="B59" s="44"/>
      <c r="C59" s="82"/>
      <c r="D59" s="82"/>
      <c r="E59" s="61"/>
      <c r="F59" s="49"/>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W59" s="50"/>
      <c r="AX59" s="50"/>
      <c r="AY59" s="50"/>
      <c r="AZ59" s="50"/>
      <c r="BA59" s="50"/>
      <c r="BB59" s="50"/>
      <c r="BC59" s="50"/>
      <c r="BD59" s="50"/>
      <c r="BE59" s="50"/>
      <c r="BF59" s="50"/>
      <c r="BG59" s="50"/>
      <c r="BH59" s="50"/>
      <c r="BI59" s="50"/>
      <c r="BJ59" s="50"/>
      <c r="BK59" s="50"/>
      <c r="BL59" s="50"/>
      <c r="BM59" s="50"/>
      <c r="BN59" s="50"/>
      <c r="BO59" s="50"/>
      <c r="BP59" s="50"/>
      <c r="BQ59" s="50"/>
      <c r="BR59" s="50"/>
      <c r="BS59" s="50"/>
      <c r="BT59" s="50"/>
      <c r="BU59" s="50"/>
      <c r="BV59" s="50"/>
      <c r="BW59" s="50"/>
      <c r="BX59" s="50"/>
      <c r="BY59" s="50"/>
      <c r="BZ59" s="51"/>
    </row>
    <row r="60" spans="1:78" x14ac:dyDescent="0.2">
      <c r="A60" s="48"/>
      <c r="B60" s="44"/>
      <c r="C60" s="82"/>
      <c r="D60" s="82"/>
      <c r="E60" s="61"/>
      <c r="F60" s="49"/>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W60" s="50"/>
      <c r="AX60" s="50"/>
      <c r="AY60" s="50"/>
      <c r="AZ60" s="50"/>
      <c r="BA60" s="50"/>
      <c r="BB60" s="50"/>
      <c r="BC60" s="50"/>
      <c r="BD60" s="50"/>
      <c r="BE60" s="50"/>
      <c r="BF60" s="50"/>
      <c r="BG60" s="50"/>
      <c r="BH60" s="50"/>
      <c r="BI60" s="50"/>
      <c r="BJ60" s="50"/>
      <c r="BK60" s="50"/>
      <c r="BL60" s="50"/>
      <c r="BM60" s="50"/>
      <c r="BN60" s="50"/>
      <c r="BO60" s="50"/>
      <c r="BP60" s="50"/>
      <c r="BQ60" s="50"/>
      <c r="BR60" s="50"/>
      <c r="BS60" s="50"/>
      <c r="BT60" s="50"/>
      <c r="BU60" s="50"/>
      <c r="BV60" s="50"/>
      <c r="BW60" s="50"/>
      <c r="BX60" s="50"/>
      <c r="BY60" s="50"/>
      <c r="BZ60" s="51"/>
    </row>
    <row r="61" spans="1:78" x14ac:dyDescent="0.2">
      <c r="A61" s="43"/>
      <c r="B61" s="44"/>
      <c r="C61" s="82"/>
      <c r="D61" s="82"/>
      <c r="E61" s="86"/>
      <c r="F61" s="49"/>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c r="AQ61" s="50"/>
      <c r="AR61" s="50"/>
      <c r="AS61" s="50"/>
      <c r="AT61" s="50"/>
      <c r="AU61" s="50"/>
      <c r="AV61" s="50"/>
      <c r="AW61" s="50"/>
      <c r="AX61" s="50"/>
      <c r="AY61" s="50"/>
      <c r="AZ61" s="50"/>
      <c r="BA61" s="50"/>
      <c r="BB61" s="50"/>
      <c r="BC61" s="50"/>
      <c r="BD61" s="50"/>
      <c r="BE61" s="50"/>
      <c r="BF61" s="50"/>
      <c r="BG61" s="50"/>
      <c r="BH61" s="50"/>
      <c r="BI61" s="50"/>
      <c r="BJ61" s="50"/>
      <c r="BK61" s="50"/>
      <c r="BL61" s="50"/>
      <c r="BM61" s="50"/>
      <c r="BN61" s="50"/>
      <c r="BO61" s="50"/>
      <c r="BP61" s="50"/>
      <c r="BQ61" s="50"/>
      <c r="BR61" s="50"/>
      <c r="BS61" s="50"/>
      <c r="BT61" s="50"/>
      <c r="BU61" s="50"/>
      <c r="BV61" s="50"/>
      <c r="BW61" s="50"/>
      <c r="BX61" s="50"/>
      <c r="BY61" s="50"/>
      <c r="BZ61" s="51"/>
    </row>
    <row r="62" spans="1:78" x14ac:dyDescent="0.2">
      <c r="A62" s="43"/>
      <c r="B62" s="44"/>
      <c r="C62" s="82"/>
      <c r="D62" s="82"/>
      <c r="E62" s="61"/>
      <c r="F62" s="49"/>
      <c r="G62" s="50"/>
      <c r="H62" s="50"/>
      <c r="I62" s="5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c r="AL62" s="50"/>
      <c r="AM62" s="50"/>
      <c r="AN62" s="50"/>
      <c r="AO62" s="50"/>
      <c r="AP62" s="50"/>
      <c r="AQ62" s="50"/>
      <c r="AR62" s="50"/>
      <c r="AS62" s="50"/>
      <c r="AT62" s="50"/>
      <c r="AU62" s="50"/>
      <c r="AV62" s="50"/>
      <c r="AW62" s="50"/>
      <c r="AX62" s="50"/>
      <c r="AY62" s="50"/>
      <c r="AZ62" s="50"/>
      <c r="BA62" s="50"/>
      <c r="BB62" s="50"/>
      <c r="BC62" s="50"/>
      <c r="BD62" s="50"/>
      <c r="BE62" s="50"/>
      <c r="BF62" s="50"/>
      <c r="BG62" s="50"/>
      <c r="BH62" s="50"/>
      <c r="BI62" s="50"/>
      <c r="BJ62" s="50"/>
      <c r="BK62" s="50"/>
      <c r="BL62" s="50"/>
      <c r="BM62" s="50"/>
      <c r="BN62" s="50"/>
      <c r="BO62" s="50"/>
      <c r="BP62" s="50"/>
      <c r="BQ62" s="50"/>
      <c r="BR62" s="50"/>
      <c r="BS62" s="50"/>
      <c r="BT62" s="50"/>
      <c r="BU62" s="50"/>
      <c r="BV62" s="50"/>
      <c r="BW62" s="50"/>
      <c r="BX62" s="50"/>
      <c r="BY62" s="50"/>
      <c r="BZ62" s="51"/>
    </row>
    <row r="63" spans="1:78" x14ac:dyDescent="0.2">
      <c r="A63" s="87"/>
      <c r="B63" s="44"/>
      <c r="C63" s="82"/>
      <c r="D63" s="82"/>
      <c r="E63" s="88"/>
      <c r="F63" s="73"/>
      <c r="G63" s="74"/>
      <c r="H63" s="74"/>
      <c r="I63" s="74"/>
      <c r="J63" s="74"/>
      <c r="K63" s="74"/>
      <c r="L63" s="74"/>
      <c r="M63" s="74"/>
      <c r="N63" s="74"/>
      <c r="O63" s="74"/>
      <c r="P63" s="74"/>
      <c r="Q63" s="74"/>
      <c r="R63" s="74"/>
      <c r="S63" s="74"/>
      <c r="T63" s="74"/>
      <c r="U63" s="74"/>
      <c r="V63" s="74"/>
      <c r="W63" s="74"/>
      <c r="X63" s="74"/>
      <c r="Y63" s="74"/>
      <c r="Z63" s="74"/>
      <c r="AA63" s="74"/>
      <c r="AB63" s="74"/>
      <c r="AC63" s="74"/>
      <c r="AD63" s="74"/>
      <c r="AE63" s="74"/>
      <c r="AF63" s="74"/>
      <c r="AG63" s="74"/>
      <c r="AH63" s="74"/>
      <c r="AI63" s="74"/>
      <c r="AJ63" s="74"/>
      <c r="AK63" s="74"/>
      <c r="AL63" s="74"/>
      <c r="AM63" s="74"/>
      <c r="AN63" s="74"/>
      <c r="AO63" s="74"/>
      <c r="AP63" s="74"/>
      <c r="AQ63" s="74"/>
      <c r="AR63" s="74"/>
      <c r="AS63" s="74"/>
      <c r="AT63" s="74"/>
      <c r="AU63" s="74"/>
      <c r="AV63" s="74"/>
      <c r="AW63" s="74"/>
      <c r="AX63" s="74"/>
      <c r="AY63" s="74"/>
      <c r="AZ63" s="74"/>
      <c r="BA63" s="74"/>
      <c r="BB63" s="74"/>
      <c r="BC63" s="74"/>
      <c r="BD63" s="74"/>
      <c r="BE63" s="74"/>
      <c r="BF63" s="74"/>
      <c r="BG63" s="74"/>
      <c r="BH63" s="74"/>
      <c r="BI63" s="74"/>
      <c r="BJ63" s="74"/>
      <c r="BK63" s="74"/>
      <c r="BL63" s="74"/>
      <c r="BM63" s="74"/>
      <c r="BN63" s="74"/>
      <c r="BO63" s="74"/>
      <c r="BP63" s="74"/>
      <c r="BQ63" s="74"/>
      <c r="BR63" s="74"/>
      <c r="BS63" s="74"/>
      <c r="BT63" s="74"/>
      <c r="BU63" s="74"/>
      <c r="BV63" s="74"/>
      <c r="BW63" s="74"/>
      <c r="BX63" s="74"/>
      <c r="BY63" s="74"/>
      <c r="BZ63" s="75"/>
    </row>
    <row r="64" spans="1:78" x14ac:dyDescent="0.2">
      <c r="A64" s="43"/>
      <c r="B64" s="44"/>
      <c r="C64" s="82"/>
      <c r="D64" s="82"/>
      <c r="E64" s="61"/>
      <c r="F64" s="49"/>
      <c r="G64" s="50"/>
      <c r="H64" s="50"/>
      <c r="I64" s="50"/>
      <c r="J64" s="50"/>
      <c r="K64" s="50"/>
      <c r="L64" s="50"/>
      <c r="M64" s="50"/>
      <c r="N64" s="50"/>
      <c r="O64" s="50"/>
      <c r="P64" s="50"/>
      <c r="Q64" s="50"/>
      <c r="R64" s="50"/>
      <c r="S64" s="50"/>
      <c r="T64" s="50"/>
      <c r="U64" s="50"/>
      <c r="V64" s="50"/>
      <c r="W64" s="50"/>
      <c r="X64" s="50"/>
      <c r="Y64" s="50"/>
      <c r="Z64" s="50"/>
      <c r="AA64" s="50"/>
      <c r="AB64" s="50"/>
      <c r="AC64" s="50"/>
      <c r="AD64" s="50"/>
      <c r="AE64" s="50"/>
      <c r="AF64" s="50"/>
      <c r="AG64" s="50"/>
      <c r="AH64" s="50"/>
      <c r="AI64" s="50"/>
      <c r="AJ64" s="50"/>
      <c r="AK64" s="50"/>
      <c r="AL64" s="50"/>
      <c r="AM64" s="50"/>
      <c r="AN64" s="50"/>
      <c r="AO64" s="50"/>
      <c r="AP64" s="50"/>
      <c r="AQ64" s="50"/>
      <c r="AR64" s="50"/>
      <c r="AS64" s="50"/>
      <c r="AT64" s="50"/>
      <c r="AU64" s="50"/>
      <c r="AV64" s="50"/>
      <c r="AW64" s="50"/>
      <c r="AX64" s="50"/>
      <c r="AY64" s="50"/>
      <c r="AZ64" s="50"/>
      <c r="BA64" s="50"/>
      <c r="BB64" s="50"/>
      <c r="BC64" s="50"/>
      <c r="BD64" s="50"/>
      <c r="BE64" s="50"/>
      <c r="BF64" s="50"/>
      <c r="BG64" s="50"/>
      <c r="BH64" s="50"/>
      <c r="BI64" s="50"/>
      <c r="BJ64" s="50"/>
      <c r="BK64" s="50"/>
      <c r="BL64" s="50"/>
      <c r="BM64" s="50"/>
      <c r="BN64" s="50"/>
      <c r="BO64" s="50"/>
      <c r="BP64" s="50"/>
      <c r="BQ64" s="50"/>
      <c r="BR64" s="50"/>
      <c r="BS64" s="50"/>
      <c r="BT64" s="50"/>
      <c r="BU64" s="50"/>
      <c r="BV64" s="50"/>
      <c r="BW64" s="50"/>
      <c r="BX64" s="50"/>
      <c r="BY64" s="50"/>
      <c r="BZ64" s="51"/>
    </row>
    <row r="65" spans="1:78" x14ac:dyDescent="0.2">
      <c r="A65" s="43"/>
      <c r="B65" s="44"/>
      <c r="C65" s="82"/>
      <c r="D65" s="82"/>
      <c r="E65" s="61"/>
      <c r="F65" s="49"/>
      <c r="G65" s="50"/>
      <c r="H65" s="50"/>
      <c r="I65" s="5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c r="AL65" s="50"/>
      <c r="AM65" s="50"/>
      <c r="AN65" s="50"/>
      <c r="AO65" s="50"/>
      <c r="AP65" s="50"/>
      <c r="AQ65" s="50"/>
      <c r="AR65" s="50"/>
      <c r="AS65" s="50"/>
      <c r="AT65" s="50"/>
      <c r="AU65" s="50"/>
      <c r="AV65" s="50"/>
      <c r="AW65" s="50"/>
      <c r="AX65" s="50"/>
      <c r="AY65" s="50"/>
      <c r="AZ65" s="50"/>
      <c r="BA65" s="50"/>
      <c r="BB65" s="50"/>
      <c r="BC65" s="50"/>
      <c r="BD65" s="50"/>
      <c r="BE65" s="50"/>
      <c r="BF65" s="50"/>
      <c r="BG65" s="50"/>
      <c r="BH65" s="50"/>
      <c r="BI65" s="50"/>
      <c r="BJ65" s="50"/>
      <c r="BK65" s="50"/>
      <c r="BL65" s="50"/>
      <c r="BM65" s="50"/>
      <c r="BN65" s="50"/>
      <c r="BO65" s="50"/>
      <c r="BP65" s="50"/>
      <c r="BQ65" s="50"/>
      <c r="BR65" s="50"/>
      <c r="BS65" s="50"/>
      <c r="BT65" s="50"/>
      <c r="BU65" s="50"/>
      <c r="BV65" s="50"/>
      <c r="BW65" s="50"/>
      <c r="BX65" s="50"/>
      <c r="BY65" s="50"/>
      <c r="BZ65" s="51"/>
    </row>
    <row r="66" spans="1:78" x14ac:dyDescent="0.2">
      <c r="A66" s="57"/>
      <c r="B66" s="44"/>
      <c r="C66" s="82"/>
      <c r="D66" s="82"/>
      <c r="E66" s="61"/>
      <c r="F66" s="49"/>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P66" s="50"/>
      <c r="AQ66" s="50"/>
      <c r="AR66" s="50"/>
      <c r="AS66" s="50"/>
      <c r="AT66" s="50"/>
      <c r="AU66" s="50"/>
      <c r="AV66" s="50"/>
      <c r="AW66" s="50"/>
      <c r="AX66" s="50"/>
      <c r="AY66" s="50"/>
      <c r="AZ66" s="50"/>
      <c r="BA66" s="50"/>
      <c r="BB66" s="50"/>
      <c r="BC66" s="50"/>
      <c r="BD66" s="50"/>
      <c r="BE66" s="50"/>
      <c r="BF66" s="50"/>
      <c r="BG66" s="50"/>
      <c r="BH66" s="50"/>
      <c r="BI66" s="50"/>
      <c r="BJ66" s="50"/>
      <c r="BK66" s="50"/>
      <c r="BL66" s="50"/>
      <c r="BM66" s="50"/>
      <c r="BN66" s="50"/>
      <c r="BO66" s="50"/>
      <c r="BP66" s="50"/>
      <c r="BQ66" s="50"/>
      <c r="BR66" s="50"/>
      <c r="BS66" s="50"/>
      <c r="BT66" s="50"/>
      <c r="BU66" s="50"/>
      <c r="BV66" s="50"/>
      <c r="BW66" s="50"/>
      <c r="BX66" s="50"/>
      <c r="BY66" s="50"/>
      <c r="BZ66" s="51"/>
    </row>
    <row r="67" spans="1:78" x14ac:dyDescent="0.2">
      <c r="A67" s="57"/>
      <c r="B67" s="44"/>
      <c r="C67" s="82"/>
      <c r="D67" s="82"/>
      <c r="E67" s="61"/>
      <c r="F67" s="49"/>
      <c r="G67" s="50"/>
      <c r="H67" s="50"/>
      <c r="I67" s="5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c r="AL67" s="50"/>
      <c r="AM67" s="50"/>
      <c r="AN67" s="50"/>
      <c r="AO67" s="50"/>
      <c r="AP67" s="50"/>
      <c r="AQ67" s="50"/>
      <c r="AR67" s="50"/>
      <c r="AS67" s="50"/>
      <c r="AT67" s="50"/>
      <c r="AU67" s="50"/>
      <c r="AV67" s="50"/>
      <c r="AW67" s="50"/>
      <c r="AX67" s="50"/>
      <c r="AY67" s="50"/>
      <c r="AZ67" s="50"/>
      <c r="BA67" s="50"/>
      <c r="BB67" s="50"/>
      <c r="BC67" s="50"/>
      <c r="BD67" s="50"/>
      <c r="BE67" s="50"/>
      <c r="BF67" s="50"/>
      <c r="BG67" s="50"/>
      <c r="BH67" s="50"/>
      <c r="BI67" s="50"/>
      <c r="BJ67" s="50"/>
      <c r="BK67" s="50"/>
      <c r="BL67" s="50"/>
      <c r="BM67" s="50"/>
      <c r="BN67" s="50"/>
      <c r="BO67" s="50"/>
      <c r="BP67" s="50"/>
      <c r="BQ67" s="50"/>
      <c r="BR67" s="50"/>
      <c r="BS67" s="50"/>
      <c r="BT67" s="50"/>
      <c r="BU67" s="50"/>
      <c r="BV67" s="50"/>
      <c r="BW67" s="50"/>
      <c r="BX67" s="50"/>
      <c r="BY67" s="50"/>
      <c r="BZ67" s="51"/>
    </row>
    <row r="68" spans="1:78" x14ac:dyDescent="0.2">
      <c r="A68" s="57"/>
      <c r="B68" s="44"/>
      <c r="C68" s="82"/>
      <c r="D68" s="82"/>
      <c r="E68" s="61"/>
      <c r="F68" s="49"/>
      <c r="G68" s="50"/>
      <c r="H68" s="50"/>
      <c r="I68" s="50"/>
      <c r="J68" s="50"/>
      <c r="K68" s="50"/>
      <c r="L68" s="50"/>
      <c r="M68" s="50"/>
      <c r="N68" s="50"/>
      <c r="O68" s="50"/>
      <c r="P68" s="50"/>
      <c r="Q68" s="50"/>
      <c r="R68" s="50"/>
      <c r="S68" s="50"/>
      <c r="T68" s="50"/>
      <c r="U68" s="50"/>
      <c r="V68" s="50"/>
      <c r="W68" s="50"/>
      <c r="X68" s="50"/>
      <c r="Y68" s="50"/>
      <c r="Z68" s="50"/>
      <c r="AA68" s="50"/>
      <c r="AB68" s="50"/>
      <c r="AC68" s="50"/>
      <c r="AD68" s="50"/>
      <c r="AE68" s="50"/>
      <c r="AF68" s="50"/>
      <c r="AG68" s="50"/>
      <c r="AH68" s="50"/>
      <c r="AI68" s="50"/>
      <c r="AJ68" s="50"/>
      <c r="AK68" s="50"/>
      <c r="AL68" s="50"/>
      <c r="AM68" s="50"/>
      <c r="AN68" s="50"/>
      <c r="AO68" s="50"/>
      <c r="AP68" s="50"/>
      <c r="AQ68" s="50"/>
      <c r="AR68" s="50"/>
      <c r="AS68" s="50"/>
      <c r="AT68" s="50"/>
      <c r="AU68" s="50"/>
      <c r="AV68" s="50"/>
      <c r="AW68" s="50"/>
      <c r="AX68" s="50"/>
      <c r="AY68" s="50"/>
      <c r="AZ68" s="50"/>
      <c r="BA68" s="50"/>
      <c r="BB68" s="50"/>
      <c r="BC68" s="50"/>
      <c r="BD68" s="50"/>
      <c r="BE68" s="50"/>
      <c r="BF68" s="50"/>
      <c r="BG68" s="50"/>
      <c r="BH68" s="50"/>
      <c r="BI68" s="50"/>
      <c r="BJ68" s="50"/>
      <c r="BK68" s="50"/>
      <c r="BL68" s="50"/>
      <c r="BM68" s="50"/>
      <c r="BN68" s="50"/>
      <c r="BO68" s="50"/>
      <c r="BP68" s="50"/>
      <c r="BQ68" s="50"/>
      <c r="BR68" s="50"/>
      <c r="BS68" s="50"/>
      <c r="BT68" s="50"/>
      <c r="BU68" s="50"/>
      <c r="BV68" s="50"/>
      <c r="BW68" s="50"/>
      <c r="BX68" s="50"/>
      <c r="BY68" s="50"/>
      <c r="BZ68" s="51"/>
    </row>
    <row r="69" spans="1:78" x14ac:dyDescent="0.2">
      <c r="A69" s="43"/>
      <c r="B69" s="44"/>
      <c r="C69" s="82"/>
      <c r="D69" s="82"/>
      <c r="E69" s="61"/>
      <c r="F69" s="49"/>
      <c r="G69" s="50"/>
      <c r="H69" s="50"/>
      <c r="I69" s="50"/>
      <c r="J69" s="50"/>
      <c r="K69" s="50"/>
      <c r="L69" s="50"/>
      <c r="M69" s="50"/>
      <c r="N69" s="50"/>
      <c r="O69" s="50"/>
      <c r="P69" s="50"/>
      <c r="Q69" s="50"/>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c r="AP69" s="50"/>
      <c r="AQ69" s="50"/>
      <c r="AR69" s="50"/>
      <c r="AS69" s="50"/>
      <c r="AT69" s="50"/>
      <c r="AU69" s="50"/>
      <c r="AV69" s="50"/>
      <c r="AW69" s="50"/>
      <c r="AX69" s="50"/>
      <c r="AY69" s="50"/>
      <c r="AZ69" s="50"/>
      <c r="BA69" s="50"/>
      <c r="BB69" s="50"/>
      <c r="BC69" s="50"/>
      <c r="BD69" s="50"/>
      <c r="BE69" s="50"/>
      <c r="BF69" s="50"/>
      <c r="BG69" s="50"/>
      <c r="BH69" s="50"/>
      <c r="BI69" s="50"/>
      <c r="BJ69" s="50"/>
      <c r="BK69" s="50"/>
      <c r="BL69" s="50"/>
      <c r="BM69" s="50"/>
      <c r="BN69" s="50"/>
      <c r="BO69" s="50"/>
      <c r="BP69" s="50"/>
      <c r="BQ69" s="50"/>
      <c r="BR69" s="50"/>
      <c r="BS69" s="50"/>
      <c r="BT69" s="50"/>
      <c r="BU69" s="50"/>
      <c r="BV69" s="50"/>
      <c r="BW69" s="50"/>
      <c r="BX69" s="50"/>
      <c r="BY69" s="50"/>
      <c r="BZ69" s="51"/>
    </row>
    <row r="70" spans="1:78" s="40" customFormat="1" x14ac:dyDescent="0.2">
      <c r="A70" s="60"/>
      <c r="B70" s="44"/>
      <c r="C70" s="82"/>
      <c r="D70" s="82"/>
      <c r="E70" s="61"/>
      <c r="F70" s="49"/>
      <c r="G70" s="50"/>
      <c r="H70" s="50"/>
      <c r="I70" s="50"/>
      <c r="J70" s="50"/>
      <c r="K70" s="50"/>
      <c r="L70" s="50"/>
      <c r="M70" s="50"/>
      <c r="N70" s="50"/>
      <c r="O70" s="50"/>
      <c r="P70" s="50"/>
      <c r="Q70" s="50"/>
      <c r="R70" s="50"/>
      <c r="S70" s="50"/>
      <c r="T70" s="50"/>
      <c r="U70" s="50"/>
      <c r="V70" s="50"/>
      <c r="W70" s="50"/>
      <c r="X70" s="50"/>
      <c r="Y70" s="50"/>
      <c r="Z70" s="50"/>
      <c r="AA70" s="50"/>
      <c r="AB70" s="50"/>
      <c r="AC70" s="50"/>
      <c r="AD70" s="50"/>
      <c r="AE70" s="50"/>
      <c r="AF70" s="50"/>
      <c r="AG70" s="50"/>
      <c r="AH70" s="50"/>
      <c r="AI70" s="50"/>
      <c r="AJ70" s="50"/>
      <c r="AK70" s="50"/>
      <c r="AL70" s="50"/>
      <c r="AM70" s="50"/>
      <c r="AN70" s="50"/>
      <c r="AO70" s="50"/>
      <c r="AP70" s="50"/>
      <c r="AQ70" s="50"/>
      <c r="AR70" s="50"/>
      <c r="AS70" s="50"/>
      <c r="AT70" s="50"/>
      <c r="AU70" s="50"/>
      <c r="AV70" s="50"/>
      <c r="AW70" s="50"/>
      <c r="AX70" s="50"/>
      <c r="AY70" s="50"/>
      <c r="AZ70" s="50"/>
      <c r="BA70" s="50"/>
      <c r="BB70" s="50"/>
      <c r="BC70" s="50"/>
      <c r="BD70" s="50"/>
      <c r="BE70" s="50"/>
      <c r="BF70" s="50"/>
      <c r="BG70" s="50"/>
      <c r="BH70" s="50"/>
      <c r="BI70" s="50"/>
      <c r="BJ70" s="50"/>
      <c r="BK70" s="50"/>
      <c r="BL70" s="50"/>
      <c r="BM70" s="50"/>
      <c r="BN70" s="50"/>
      <c r="BO70" s="50"/>
      <c r="BP70" s="50"/>
      <c r="BQ70" s="50"/>
      <c r="BR70" s="50"/>
      <c r="BS70" s="50"/>
      <c r="BT70" s="50"/>
      <c r="BU70" s="50"/>
      <c r="BV70" s="50"/>
      <c r="BW70" s="50"/>
      <c r="BX70" s="50"/>
      <c r="BY70" s="50"/>
      <c r="BZ70" s="51"/>
    </row>
    <row r="71" spans="1:78" s="40" customFormat="1" x14ac:dyDescent="0.2">
      <c r="A71" s="43"/>
      <c r="B71" s="44"/>
      <c r="C71" s="82"/>
      <c r="D71" s="82"/>
      <c r="E71" s="61"/>
      <c r="F71" s="49"/>
      <c r="G71" s="50"/>
      <c r="H71" s="50"/>
      <c r="I71" s="50"/>
      <c r="J71" s="50"/>
      <c r="K71" s="50"/>
      <c r="L71" s="50"/>
      <c r="M71" s="50"/>
      <c r="N71" s="50"/>
      <c r="O71" s="50"/>
      <c r="P71" s="50"/>
      <c r="Q71" s="50"/>
      <c r="R71" s="50"/>
      <c r="S71" s="50"/>
      <c r="T71" s="50"/>
      <c r="U71" s="50"/>
      <c r="V71" s="50"/>
      <c r="W71" s="50"/>
      <c r="X71" s="50"/>
      <c r="Y71" s="50"/>
      <c r="Z71" s="50"/>
      <c r="AA71" s="50"/>
      <c r="AB71" s="50"/>
      <c r="AC71" s="50"/>
      <c r="AD71" s="50"/>
      <c r="AE71" s="50"/>
      <c r="AF71" s="50"/>
      <c r="AG71" s="50"/>
      <c r="AH71" s="50"/>
      <c r="AI71" s="50"/>
      <c r="AJ71" s="50"/>
      <c r="AK71" s="50"/>
      <c r="AL71" s="50"/>
      <c r="AM71" s="50"/>
      <c r="AN71" s="50"/>
      <c r="AO71" s="50"/>
      <c r="AP71" s="50"/>
      <c r="AQ71" s="50"/>
      <c r="AR71" s="50"/>
      <c r="AS71" s="50"/>
      <c r="AT71" s="50"/>
      <c r="AU71" s="50"/>
      <c r="AV71" s="50"/>
      <c r="AW71" s="50"/>
      <c r="AX71" s="50"/>
      <c r="AY71" s="50"/>
      <c r="AZ71" s="50"/>
      <c r="BA71" s="50"/>
      <c r="BB71" s="50"/>
      <c r="BC71" s="50"/>
      <c r="BD71" s="50"/>
      <c r="BE71" s="50"/>
      <c r="BF71" s="50"/>
      <c r="BG71" s="50"/>
      <c r="BH71" s="50"/>
      <c r="BI71" s="50"/>
      <c r="BJ71" s="50"/>
      <c r="BK71" s="50"/>
      <c r="BL71" s="50"/>
      <c r="BM71" s="50"/>
      <c r="BN71" s="50"/>
      <c r="BO71" s="50"/>
      <c r="BP71" s="50"/>
      <c r="BQ71" s="50"/>
      <c r="BR71" s="50"/>
      <c r="BS71" s="50"/>
      <c r="BT71" s="50"/>
      <c r="BU71" s="50"/>
      <c r="BV71" s="50"/>
      <c r="BW71" s="50"/>
      <c r="BX71" s="50"/>
      <c r="BY71" s="50"/>
      <c r="BZ71" s="51"/>
    </row>
    <row r="72" spans="1:78" s="40" customFormat="1" x14ac:dyDescent="0.2">
      <c r="A72" s="85"/>
      <c r="B72" s="44"/>
      <c r="C72" s="82"/>
      <c r="D72" s="82"/>
      <c r="E72" s="61"/>
      <c r="F72" s="49"/>
      <c r="G72" s="50"/>
      <c r="H72" s="50"/>
      <c r="I72" s="50"/>
      <c r="J72" s="50"/>
      <c r="K72" s="50"/>
      <c r="L72" s="50"/>
      <c r="M72" s="50"/>
      <c r="N72" s="50"/>
      <c r="O72" s="50"/>
      <c r="P72" s="50"/>
      <c r="Q72" s="50"/>
      <c r="R72" s="50"/>
      <c r="S72" s="50"/>
      <c r="T72" s="50"/>
      <c r="U72" s="50"/>
      <c r="V72" s="50"/>
      <c r="W72" s="50"/>
      <c r="X72" s="50"/>
      <c r="Y72" s="50"/>
      <c r="Z72" s="50"/>
      <c r="AA72" s="50"/>
      <c r="AB72" s="50"/>
      <c r="AC72" s="50"/>
      <c r="AD72" s="50"/>
      <c r="AE72" s="50"/>
      <c r="AF72" s="50"/>
      <c r="AG72" s="50"/>
      <c r="AH72" s="50"/>
      <c r="AI72" s="50"/>
      <c r="AJ72" s="50"/>
      <c r="AK72" s="50"/>
      <c r="AL72" s="50"/>
      <c r="AM72" s="50"/>
      <c r="AN72" s="50"/>
      <c r="AO72" s="50"/>
      <c r="AP72" s="50"/>
      <c r="AQ72" s="50"/>
      <c r="AR72" s="50"/>
      <c r="AS72" s="50"/>
      <c r="AT72" s="50"/>
      <c r="AU72" s="50"/>
      <c r="AV72" s="50"/>
      <c r="AW72" s="50"/>
      <c r="AX72" s="50"/>
      <c r="AY72" s="50"/>
      <c r="AZ72" s="50"/>
      <c r="BA72" s="50"/>
      <c r="BB72" s="50"/>
      <c r="BC72" s="50"/>
      <c r="BD72" s="50"/>
      <c r="BE72" s="50"/>
      <c r="BF72" s="50"/>
      <c r="BG72" s="50"/>
      <c r="BH72" s="50"/>
      <c r="BI72" s="50"/>
      <c r="BJ72" s="50"/>
      <c r="BK72" s="50"/>
      <c r="BL72" s="50"/>
      <c r="BM72" s="50"/>
      <c r="BN72" s="50"/>
      <c r="BO72" s="50"/>
      <c r="BP72" s="50"/>
      <c r="BQ72" s="50"/>
      <c r="BR72" s="50"/>
      <c r="BS72" s="50"/>
      <c r="BT72" s="50"/>
      <c r="BU72" s="50"/>
      <c r="BV72" s="50"/>
      <c r="BW72" s="50"/>
      <c r="BX72" s="50"/>
      <c r="BY72" s="50"/>
      <c r="BZ72" s="51"/>
    </row>
    <row r="73" spans="1:78" x14ac:dyDescent="0.2">
      <c r="A73" s="52"/>
      <c r="B73" s="44"/>
      <c r="C73" s="82"/>
      <c r="D73" s="82"/>
      <c r="E73" s="61"/>
      <c r="F73" s="49"/>
      <c r="G73" s="50"/>
      <c r="H73" s="50"/>
      <c r="I73" s="50"/>
      <c r="J73" s="50"/>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c r="BI73" s="50"/>
      <c r="BJ73" s="50"/>
      <c r="BK73" s="50"/>
      <c r="BL73" s="50"/>
      <c r="BM73" s="50"/>
      <c r="BN73" s="50"/>
      <c r="BO73" s="50"/>
      <c r="BP73" s="50"/>
      <c r="BQ73" s="50"/>
      <c r="BR73" s="50"/>
      <c r="BS73" s="50"/>
      <c r="BT73" s="50"/>
      <c r="BU73" s="50"/>
      <c r="BV73" s="50"/>
      <c r="BW73" s="50"/>
      <c r="BX73" s="50"/>
      <c r="BY73" s="50"/>
      <c r="BZ73" s="51"/>
    </row>
    <row r="74" spans="1:78" s="40" customFormat="1" x14ac:dyDescent="0.2">
      <c r="A74" s="57"/>
      <c r="B74" s="44"/>
      <c r="C74" s="82"/>
      <c r="D74" s="82"/>
      <c r="E74" s="61"/>
      <c r="F74" s="49"/>
      <c r="G74" s="50"/>
      <c r="H74" s="50"/>
      <c r="I74" s="50"/>
      <c r="J74" s="50"/>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50"/>
      <c r="AJ74" s="50"/>
      <c r="AK74" s="50"/>
      <c r="AL74" s="50"/>
      <c r="AM74" s="50"/>
      <c r="AN74" s="50"/>
      <c r="AO74" s="50"/>
      <c r="AP74" s="50"/>
      <c r="AQ74" s="50"/>
      <c r="AR74" s="50"/>
      <c r="AS74" s="50"/>
      <c r="AT74" s="50"/>
      <c r="AU74" s="50"/>
      <c r="AV74" s="50"/>
      <c r="AW74" s="50"/>
      <c r="AX74" s="50"/>
      <c r="AY74" s="50"/>
      <c r="AZ74" s="50"/>
      <c r="BA74" s="50"/>
      <c r="BB74" s="50"/>
      <c r="BC74" s="50"/>
      <c r="BD74" s="50"/>
      <c r="BE74" s="50"/>
      <c r="BF74" s="50"/>
      <c r="BG74" s="50"/>
      <c r="BH74" s="50"/>
      <c r="BI74" s="50"/>
      <c r="BJ74" s="50"/>
      <c r="BK74" s="50"/>
      <c r="BL74" s="50"/>
      <c r="BM74" s="50"/>
      <c r="BN74" s="50"/>
      <c r="BO74" s="50"/>
      <c r="BP74" s="50"/>
      <c r="BQ74" s="50"/>
      <c r="BR74" s="50"/>
      <c r="BS74" s="50"/>
      <c r="BT74" s="50"/>
      <c r="BU74" s="50"/>
      <c r="BV74" s="50"/>
      <c r="BW74" s="50"/>
      <c r="BX74" s="50"/>
      <c r="BY74" s="50"/>
      <c r="BZ74" s="51"/>
    </row>
    <row r="75" spans="1:78" x14ac:dyDescent="0.2">
      <c r="A75" s="48"/>
      <c r="B75" s="44"/>
      <c r="C75" s="82"/>
      <c r="D75" s="82"/>
      <c r="E75" s="61"/>
      <c r="F75" s="73"/>
      <c r="G75" s="74"/>
      <c r="H75" s="74"/>
      <c r="I75" s="74"/>
      <c r="J75" s="74"/>
      <c r="K75" s="74"/>
      <c r="L75" s="74"/>
      <c r="M75" s="74"/>
      <c r="N75" s="74"/>
      <c r="O75" s="74"/>
      <c r="P75" s="74"/>
      <c r="Q75" s="74"/>
      <c r="R75" s="74"/>
      <c r="S75" s="74"/>
      <c r="T75" s="74"/>
      <c r="U75" s="74"/>
      <c r="V75" s="74"/>
      <c r="W75" s="74"/>
      <c r="X75" s="74"/>
      <c r="Y75" s="74"/>
      <c r="Z75" s="74"/>
      <c r="AA75" s="74"/>
      <c r="AB75" s="74"/>
      <c r="AC75" s="74"/>
      <c r="AD75" s="74"/>
      <c r="AE75" s="74"/>
      <c r="AF75" s="74"/>
      <c r="AG75" s="74"/>
      <c r="AH75" s="74"/>
      <c r="AI75" s="74"/>
      <c r="AJ75" s="74"/>
      <c r="AK75" s="74"/>
      <c r="AL75" s="74"/>
      <c r="AM75" s="74"/>
      <c r="AN75" s="74"/>
      <c r="AO75" s="74"/>
      <c r="AP75" s="74"/>
      <c r="AQ75" s="74"/>
      <c r="AR75" s="74"/>
      <c r="AS75" s="74"/>
      <c r="AT75" s="74"/>
      <c r="AU75" s="74"/>
      <c r="AV75" s="74"/>
      <c r="AW75" s="74"/>
      <c r="AX75" s="74"/>
      <c r="AY75" s="74"/>
      <c r="AZ75" s="74"/>
      <c r="BA75" s="74"/>
      <c r="BB75" s="74"/>
      <c r="BC75" s="74"/>
      <c r="BD75" s="74"/>
      <c r="BE75" s="74"/>
      <c r="BF75" s="74"/>
      <c r="BG75" s="74"/>
      <c r="BH75" s="74"/>
      <c r="BI75" s="74"/>
      <c r="BJ75" s="74"/>
      <c r="BK75" s="74"/>
      <c r="BL75" s="74"/>
      <c r="BM75" s="74"/>
      <c r="BN75" s="74"/>
      <c r="BO75" s="74"/>
      <c r="BP75" s="74"/>
      <c r="BQ75" s="74"/>
      <c r="BR75" s="74"/>
      <c r="BS75" s="74"/>
      <c r="BT75" s="74"/>
      <c r="BU75" s="74"/>
      <c r="BV75" s="74"/>
      <c r="BW75" s="74"/>
      <c r="BX75" s="74"/>
      <c r="BY75" s="74"/>
      <c r="BZ75" s="75"/>
    </row>
    <row r="76" spans="1:78" x14ac:dyDescent="0.2">
      <c r="A76" s="48"/>
      <c r="B76" s="44"/>
      <c r="C76" s="82"/>
      <c r="D76" s="82"/>
      <c r="E76" s="61"/>
      <c r="F76" s="49"/>
      <c r="G76" s="50"/>
      <c r="H76" s="50"/>
      <c r="I76" s="50"/>
      <c r="J76" s="50"/>
      <c r="K76" s="50"/>
      <c r="L76" s="50"/>
      <c r="M76" s="50"/>
      <c r="N76" s="50"/>
      <c r="O76" s="50"/>
      <c r="P76" s="50"/>
      <c r="Q76" s="50"/>
      <c r="R76" s="50"/>
      <c r="S76" s="50"/>
      <c r="T76" s="50"/>
      <c r="U76" s="50"/>
      <c r="V76" s="50"/>
      <c r="W76" s="50"/>
      <c r="X76" s="50"/>
      <c r="Y76" s="50"/>
      <c r="Z76" s="50"/>
      <c r="AA76" s="50"/>
      <c r="AB76" s="50"/>
      <c r="AC76" s="50"/>
      <c r="AD76" s="50"/>
      <c r="AE76" s="50"/>
      <c r="AF76" s="50"/>
      <c r="AG76" s="50"/>
      <c r="AH76" s="50"/>
      <c r="AI76" s="50"/>
      <c r="AJ76" s="50"/>
      <c r="AK76" s="50"/>
      <c r="AL76" s="50"/>
      <c r="AM76" s="50"/>
      <c r="AN76" s="50"/>
      <c r="AO76" s="50"/>
      <c r="AP76" s="50"/>
      <c r="AQ76" s="50"/>
      <c r="AR76" s="50"/>
      <c r="AS76" s="50"/>
      <c r="AT76" s="50"/>
      <c r="AU76" s="50"/>
      <c r="AV76" s="50"/>
      <c r="AW76" s="50"/>
      <c r="AX76" s="50"/>
      <c r="AY76" s="50"/>
      <c r="AZ76" s="50"/>
      <c r="BA76" s="50"/>
      <c r="BB76" s="50"/>
      <c r="BC76" s="50"/>
      <c r="BD76" s="50"/>
      <c r="BE76" s="50"/>
      <c r="BF76" s="50"/>
      <c r="BG76" s="50"/>
      <c r="BH76" s="50"/>
      <c r="BI76" s="50"/>
      <c r="BJ76" s="50"/>
      <c r="BK76" s="50"/>
      <c r="BL76" s="50"/>
      <c r="BM76" s="50"/>
      <c r="BN76" s="50"/>
      <c r="BO76" s="50"/>
      <c r="BP76" s="50"/>
      <c r="BQ76" s="50"/>
      <c r="BR76" s="50"/>
      <c r="BS76" s="50"/>
      <c r="BT76" s="50"/>
      <c r="BU76" s="50"/>
      <c r="BV76" s="50"/>
      <c r="BW76" s="50"/>
      <c r="BX76" s="50"/>
      <c r="BY76" s="50"/>
      <c r="BZ76" s="51"/>
    </row>
    <row r="77" spans="1:78" x14ac:dyDescent="0.2">
      <c r="A77" s="48"/>
      <c r="B77" s="44"/>
      <c r="C77" s="82"/>
      <c r="D77" s="82"/>
      <c r="E77" s="61"/>
      <c r="F77" s="49"/>
      <c r="G77" s="50"/>
      <c r="H77" s="50"/>
      <c r="I77" s="50"/>
      <c r="J77" s="50"/>
      <c r="K77" s="50"/>
      <c r="L77" s="50"/>
      <c r="M77" s="50"/>
      <c r="N77" s="50"/>
      <c r="O77" s="50"/>
      <c r="P77" s="50"/>
      <c r="Q77" s="50"/>
      <c r="R77" s="50"/>
      <c r="S77" s="50"/>
      <c r="T77" s="50"/>
      <c r="U77" s="50"/>
      <c r="V77" s="50"/>
      <c r="W77" s="50"/>
      <c r="X77" s="50"/>
      <c r="Y77" s="50"/>
      <c r="Z77" s="50"/>
      <c r="AA77" s="50"/>
      <c r="AB77" s="50"/>
      <c r="AC77" s="50"/>
      <c r="AD77" s="50"/>
      <c r="AE77" s="50"/>
      <c r="AF77" s="50"/>
      <c r="AG77" s="50"/>
      <c r="AH77" s="50"/>
      <c r="AI77" s="50"/>
      <c r="AJ77" s="50"/>
      <c r="AK77" s="50"/>
      <c r="AL77" s="50"/>
      <c r="AM77" s="50"/>
      <c r="AN77" s="50"/>
      <c r="AO77" s="50"/>
      <c r="AP77" s="50"/>
      <c r="AQ77" s="50"/>
      <c r="AR77" s="50"/>
      <c r="AS77" s="50"/>
      <c r="AT77" s="50"/>
      <c r="AU77" s="50"/>
      <c r="AV77" s="50"/>
      <c r="AW77" s="50"/>
      <c r="AX77" s="50"/>
      <c r="AY77" s="50"/>
      <c r="AZ77" s="50"/>
      <c r="BA77" s="50"/>
      <c r="BB77" s="50"/>
      <c r="BC77" s="50"/>
      <c r="BD77" s="50"/>
      <c r="BE77" s="50"/>
      <c r="BF77" s="50"/>
      <c r="BG77" s="50"/>
      <c r="BH77" s="50"/>
      <c r="BI77" s="50"/>
      <c r="BJ77" s="50"/>
      <c r="BK77" s="50"/>
      <c r="BL77" s="50"/>
      <c r="BM77" s="50"/>
      <c r="BN77" s="50"/>
      <c r="BO77" s="50"/>
      <c r="BP77" s="50"/>
      <c r="BQ77" s="50"/>
      <c r="BR77" s="50"/>
      <c r="BS77" s="50"/>
      <c r="BT77" s="50"/>
      <c r="BU77" s="50"/>
      <c r="BV77" s="50"/>
      <c r="BW77" s="50"/>
      <c r="BX77" s="50"/>
      <c r="BY77" s="50"/>
      <c r="BZ77" s="51"/>
    </row>
    <row r="78" spans="1:78" x14ac:dyDescent="0.2">
      <c r="A78" s="48"/>
      <c r="B78" s="44"/>
      <c r="C78" s="82"/>
      <c r="D78" s="82"/>
      <c r="E78" s="66"/>
      <c r="F78" s="45"/>
      <c r="G78" s="46"/>
      <c r="H78" s="46"/>
      <c r="I78" s="46"/>
      <c r="J78" s="46"/>
      <c r="K78" s="46"/>
      <c r="L78" s="46"/>
      <c r="M78" s="46"/>
      <c r="N78" s="46"/>
      <c r="O78" s="46"/>
      <c r="P78" s="46"/>
      <c r="Q78" s="46"/>
      <c r="R78" s="46"/>
      <c r="S78" s="46"/>
      <c r="T78" s="46"/>
      <c r="U78" s="46"/>
      <c r="V78" s="46"/>
      <c r="W78" s="46"/>
      <c r="X78" s="46"/>
      <c r="Y78" s="46"/>
      <c r="Z78" s="46"/>
      <c r="AA78" s="46"/>
      <c r="AB78" s="46"/>
      <c r="AC78" s="46"/>
      <c r="AD78" s="46"/>
      <c r="AE78" s="46"/>
      <c r="AF78" s="46"/>
      <c r="AG78" s="46"/>
      <c r="AH78" s="50"/>
      <c r="AI78" s="50"/>
      <c r="AJ78" s="50"/>
      <c r="AK78" s="50"/>
      <c r="AL78" s="50"/>
      <c r="AM78" s="50"/>
      <c r="AN78" s="50"/>
      <c r="AO78" s="50"/>
      <c r="AP78" s="50"/>
      <c r="AQ78" s="50"/>
      <c r="AR78" s="50"/>
      <c r="AS78" s="50"/>
      <c r="AT78" s="50"/>
      <c r="AU78" s="50"/>
      <c r="AV78" s="50"/>
      <c r="AW78" s="50"/>
      <c r="AX78" s="50"/>
      <c r="AY78" s="50"/>
      <c r="AZ78" s="50"/>
      <c r="BA78" s="50"/>
      <c r="BB78" s="50"/>
      <c r="BC78" s="50"/>
      <c r="BD78" s="50"/>
      <c r="BE78" s="50"/>
      <c r="BF78" s="50"/>
      <c r="BG78" s="50"/>
      <c r="BH78" s="50"/>
      <c r="BI78" s="50"/>
      <c r="BJ78" s="50"/>
      <c r="BK78" s="50"/>
      <c r="BL78" s="50"/>
      <c r="BM78" s="50"/>
      <c r="BN78" s="50"/>
      <c r="BO78" s="50"/>
      <c r="BP78" s="50"/>
      <c r="BQ78" s="46"/>
      <c r="BR78" s="46"/>
      <c r="BS78" s="46"/>
      <c r="BT78" s="46"/>
      <c r="BU78" s="46"/>
      <c r="BV78" s="46"/>
      <c r="BW78" s="46"/>
      <c r="BX78" s="46"/>
      <c r="BY78" s="46"/>
      <c r="BZ78" s="47"/>
    </row>
    <row r="79" spans="1:78" x14ac:dyDescent="0.2">
      <c r="A79" s="90"/>
      <c r="B79" s="44"/>
      <c r="C79" s="82"/>
      <c r="D79" s="82"/>
      <c r="E79" s="61"/>
      <c r="F79" s="49"/>
      <c r="G79" s="50"/>
      <c r="H79" s="50"/>
      <c r="I79" s="5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0"/>
      <c r="AL79" s="50"/>
      <c r="AM79" s="50"/>
      <c r="AN79" s="50"/>
      <c r="AO79" s="50"/>
      <c r="AP79" s="50"/>
      <c r="AQ79" s="50"/>
      <c r="AR79" s="50"/>
      <c r="AS79" s="50"/>
      <c r="AT79" s="50"/>
      <c r="AU79" s="50"/>
      <c r="AV79" s="50"/>
      <c r="AW79" s="50"/>
      <c r="AX79" s="50"/>
      <c r="AY79" s="50"/>
      <c r="AZ79" s="50"/>
      <c r="BA79" s="50"/>
      <c r="BB79" s="50"/>
      <c r="BC79" s="50"/>
      <c r="BD79" s="50"/>
      <c r="BE79" s="50"/>
      <c r="BF79" s="50"/>
      <c r="BG79" s="50"/>
      <c r="BH79" s="50"/>
      <c r="BI79" s="50"/>
      <c r="BJ79" s="50"/>
      <c r="BK79" s="50"/>
      <c r="BL79" s="50"/>
      <c r="BM79" s="50"/>
      <c r="BN79" s="50"/>
      <c r="BO79" s="50"/>
      <c r="BP79" s="50"/>
      <c r="BQ79" s="50"/>
      <c r="BR79" s="50"/>
      <c r="BS79" s="50"/>
      <c r="BT79" s="50"/>
      <c r="BU79" s="50"/>
      <c r="BV79" s="50"/>
      <c r="BW79" s="50"/>
      <c r="BX79" s="50"/>
      <c r="BY79" s="50"/>
      <c r="BZ79" s="51"/>
    </row>
    <row r="80" spans="1:78" x14ac:dyDescent="0.2">
      <c r="A80" s="48"/>
      <c r="B80" s="44"/>
      <c r="C80" s="82"/>
      <c r="D80" s="82"/>
      <c r="E80" s="61"/>
      <c r="F80" s="45"/>
      <c r="G80" s="46"/>
      <c r="H80" s="46"/>
      <c r="I80" s="46"/>
      <c r="J80" s="46"/>
      <c r="K80" s="46"/>
      <c r="L80" s="46"/>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c r="BF80" s="46"/>
      <c r="BG80" s="46"/>
      <c r="BH80" s="46"/>
      <c r="BI80" s="46"/>
      <c r="BJ80" s="46"/>
      <c r="BK80" s="46"/>
      <c r="BL80" s="46"/>
      <c r="BM80" s="46"/>
      <c r="BN80" s="46"/>
      <c r="BO80" s="46"/>
      <c r="BP80" s="46"/>
      <c r="BQ80" s="46"/>
      <c r="BR80" s="46"/>
      <c r="BS80" s="46"/>
      <c r="BT80" s="46"/>
      <c r="BU80" s="46"/>
      <c r="BV80" s="46"/>
      <c r="BW80" s="46"/>
      <c r="BX80" s="46"/>
      <c r="BY80" s="46"/>
      <c r="BZ80" s="47"/>
    </row>
    <row r="81" spans="1:78" x14ac:dyDescent="0.2">
      <c r="A81" s="52"/>
      <c r="B81" s="44"/>
      <c r="C81" s="82"/>
      <c r="D81" s="82"/>
      <c r="E81" s="61"/>
      <c r="F81" s="49"/>
      <c r="G81" s="50"/>
      <c r="H81" s="50"/>
      <c r="I81" s="50"/>
      <c r="J81" s="50"/>
      <c r="K81" s="50"/>
      <c r="L81" s="50"/>
      <c r="M81" s="50"/>
      <c r="N81" s="50"/>
      <c r="O81" s="50"/>
      <c r="P81" s="50"/>
      <c r="Q81" s="50"/>
      <c r="R81" s="50"/>
      <c r="S81" s="50"/>
      <c r="T81" s="50"/>
      <c r="U81" s="50"/>
      <c r="V81" s="50"/>
      <c r="W81" s="50"/>
      <c r="X81" s="50"/>
      <c r="Y81" s="50"/>
      <c r="Z81" s="50"/>
      <c r="AA81" s="50"/>
      <c r="AB81" s="50"/>
      <c r="AC81" s="50"/>
      <c r="AD81" s="50"/>
      <c r="AE81" s="50"/>
      <c r="AF81" s="50"/>
      <c r="AG81" s="50"/>
      <c r="AH81" s="50"/>
      <c r="AI81" s="50"/>
      <c r="AJ81" s="50"/>
      <c r="AK81" s="50"/>
      <c r="AL81" s="50"/>
      <c r="AM81" s="50"/>
      <c r="AN81" s="50"/>
      <c r="AO81" s="50"/>
      <c r="AP81" s="50"/>
      <c r="AQ81" s="50"/>
      <c r="AR81" s="50"/>
      <c r="AS81" s="50"/>
      <c r="AT81" s="50"/>
      <c r="AU81" s="50"/>
      <c r="AV81" s="50"/>
      <c r="AW81" s="50"/>
      <c r="AX81" s="50"/>
      <c r="AY81" s="50"/>
      <c r="AZ81" s="50"/>
      <c r="BA81" s="50"/>
      <c r="BB81" s="50"/>
      <c r="BC81" s="50"/>
      <c r="BD81" s="50"/>
      <c r="BE81" s="50"/>
      <c r="BF81" s="50"/>
      <c r="BG81" s="50"/>
      <c r="BH81" s="50"/>
      <c r="BI81" s="50"/>
      <c r="BJ81" s="50"/>
      <c r="BK81" s="50"/>
      <c r="BL81" s="50"/>
      <c r="BM81" s="50"/>
      <c r="BN81" s="50"/>
      <c r="BO81" s="50"/>
      <c r="BP81" s="50"/>
      <c r="BQ81" s="50"/>
      <c r="BR81" s="50"/>
      <c r="BS81" s="50"/>
      <c r="BT81" s="50"/>
      <c r="BU81" s="50"/>
      <c r="BV81" s="50"/>
      <c r="BW81" s="50"/>
      <c r="BX81" s="50"/>
      <c r="BY81" s="50"/>
      <c r="BZ81" s="51"/>
    </row>
    <row r="82" spans="1:78" x14ac:dyDescent="0.2">
      <c r="A82" s="52"/>
      <c r="B82" s="44"/>
      <c r="C82" s="82"/>
      <c r="D82" s="82"/>
      <c r="E82" s="61"/>
      <c r="F82" s="49"/>
      <c r="G82" s="50"/>
      <c r="H82" s="50"/>
      <c r="I82" s="50"/>
      <c r="J82" s="50"/>
      <c r="K82" s="50"/>
      <c r="L82" s="50"/>
      <c r="M82" s="50"/>
      <c r="N82" s="50"/>
      <c r="O82" s="50"/>
      <c r="P82" s="50"/>
      <c r="Q82" s="50"/>
      <c r="R82" s="50"/>
      <c r="S82" s="50"/>
      <c r="T82" s="50"/>
      <c r="U82" s="50"/>
      <c r="V82" s="50"/>
      <c r="W82" s="50"/>
      <c r="X82" s="50"/>
      <c r="Y82" s="50"/>
      <c r="Z82" s="50"/>
      <c r="AA82" s="50"/>
      <c r="AB82" s="50"/>
      <c r="AC82" s="50"/>
      <c r="AD82" s="50"/>
      <c r="AE82" s="50"/>
      <c r="AF82" s="50"/>
      <c r="AG82" s="50"/>
      <c r="AH82" s="50"/>
      <c r="AI82" s="50"/>
      <c r="AJ82" s="50"/>
      <c r="AK82" s="50"/>
      <c r="AL82" s="50"/>
      <c r="AM82" s="50"/>
      <c r="AN82" s="50"/>
      <c r="AO82" s="50"/>
      <c r="AP82" s="50"/>
      <c r="AQ82" s="50"/>
      <c r="AR82" s="50"/>
      <c r="AS82" s="50"/>
      <c r="AT82" s="50"/>
      <c r="AU82" s="50"/>
      <c r="AV82" s="50"/>
      <c r="AW82" s="50"/>
      <c r="AX82" s="50"/>
      <c r="AY82" s="50"/>
      <c r="AZ82" s="50"/>
      <c r="BA82" s="50"/>
      <c r="BB82" s="50"/>
      <c r="BC82" s="50"/>
      <c r="BD82" s="50"/>
      <c r="BE82" s="50"/>
      <c r="BF82" s="50"/>
      <c r="BG82" s="50"/>
      <c r="BH82" s="50"/>
      <c r="BI82" s="50"/>
      <c r="BJ82" s="50"/>
      <c r="BK82" s="50"/>
      <c r="BL82" s="50"/>
      <c r="BM82" s="50"/>
      <c r="BN82" s="50"/>
      <c r="BO82" s="50"/>
      <c r="BP82" s="50"/>
      <c r="BQ82" s="50"/>
      <c r="BR82" s="50"/>
      <c r="BS82" s="50"/>
      <c r="BT82" s="50"/>
      <c r="BU82" s="50"/>
      <c r="BV82" s="50"/>
      <c r="BW82" s="50"/>
      <c r="BX82" s="50"/>
      <c r="BY82" s="50"/>
      <c r="BZ82" s="51"/>
    </row>
    <row r="83" spans="1:78" x14ac:dyDescent="0.2">
      <c r="A83" s="52"/>
      <c r="B83" s="44"/>
      <c r="C83" s="82"/>
      <c r="D83" s="82"/>
      <c r="E83" s="61"/>
      <c r="F83" s="49"/>
      <c r="G83" s="50"/>
      <c r="H83" s="50"/>
      <c r="I83" s="50"/>
      <c r="J83" s="50"/>
      <c r="K83" s="50"/>
      <c r="L83" s="50"/>
      <c r="M83" s="50"/>
      <c r="N83" s="50"/>
      <c r="O83" s="50"/>
      <c r="P83" s="50"/>
      <c r="Q83" s="50"/>
      <c r="R83" s="50"/>
      <c r="S83" s="50"/>
      <c r="T83" s="50"/>
      <c r="U83" s="50"/>
      <c r="V83" s="50"/>
      <c r="W83" s="50"/>
      <c r="X83" s="50"/>
      <c r="Y83" s="50"/>
      <c r="Z83" s="50"/>
      <c r="AA83" s="50"/>
      <c r="AB83" s="50"/>
      <c r="AC83" s="50"/>
      <c r="AD83" s="50"/>
      <c r="AE83" s="50"/>
      <c r="AF83" s="50"/>
      <c r="AG83" s="50"/>
      <c r="AH83" s="50"/>
      <c r="AI83" s="50"/>
      <c r="AJ83" s="50"/>
      <c r="AK83" s="50"/>
      <c r="AL83" s="50"/>
      <c r="AM83" s="50"/>
      <c r="AN83" s="50"/>
      <c r="AO83" s="50"/>
      <c r="AP83" s="50"/>
      <c r="AQ83" s="50"/>
      <c r="AR83" s="50"/>
      <c r="AS83" s="50"/>
      <c r="AT83" s="50"/>
      <c r="AU83" s="50"/>
      <c r="AV83" s="50"/>
      <c r="AW83" s="50"/>
      <c r="AX83" s="50"/>
      <c r="AY83" s="50"/>
      <c r="AZ83" s="50"/>
      <c r="BA83" s="50"/>
      <c r="BB83" s="50"/>
      <c r="BC83" s="50"/>
      <c r="BD83" s="50"/>
      <c r="BE83" s="50"/>
      <c r="BF83" s="50"/>
      <c r="BG83" s="50"/>
      <c r="BH83" s="50"/>
      <c r="BI83" s="50"/>
      <c r="BJ83" s="50"/>
      <c r="BK83" s="50"/>
      <c r="BL83" s="50"/>
      <c r="BM83" s="50"/>
      <c r="BN83" s="50"/>
      <c r="BO83" s="50"/>
      <c r="BP83" s="50"/>
      <c r="BQ83" s="50"/>
      <c r="BR83" s="50"/>
      <c r="BS83" s="50"/>
      <c r="BT83" s="50"/>
      <c r="BU83" s="50"/>
      <c r="BV83" s="50"/>
      <c r="BW83" s="50"/>
      <c r="BX83" s="50"/>
      <c r="BY83" s="50"/>
      <c r="BZ83" s="51"/>
    </row>
    <row r="84" spans="1:78" x14ac:dyDescent="0.2">
      <c r="A84" s="48"/>
      <c r="B84" s="44"/>
      <c r="C84" s="82"/>
      <c r="D84" s="82"/>
      <c r="E84" s="61"/>
      <c r="F84" s="49"/>
      <c r="G84" s="50"/>
      <c r="H84" s="50"/>
      <c r="I84" s="50"/>
      <c r="J84" s="50"/>
      <c r="K84" s="50"/>
      <c r="L84" s="50"/>
      <c r="M84" s="50"/>
      <c r="N84" s="50"/>
      <c r="O84" s="50"/>
      <c r="P84" s="50"/>
      <c r="Q84" s="50"/>
      <c r="R84" s="50"/>
      <c r="S84" s="50"/>
      <c r="T84" s="50"/>
      <c r="U84" s="50"/>
      <c r="V84" s="50"/>
      <c r="W84" s="50"/>
      <c r="X84" s="50"/>
      <c r="Y84" s="50"/>
      <c r="Z84" s="50"/>
      <c r="AA84" s="50"/>
      <c r="AB84" s="50"/>
      <c r="AC84" s="50"/>
      <c r="AD84" s="50"/>
      <c r="AE84" s="50"/>
      <c r="AF84" s="50"/>
      <c r="AG84" s="50"/>
      <c r="AH84" s="50"/>
      <c r="AI84" s="50"/>
      <c r="AJ84" s="50"/>
      <c r="AK84" s="50"/>
      <c r="AL84" s="50"/>
      <c r="AM84" s="50"/>
      <c r="AN84" s="50"/>
      <c r="AO84" s="50"/>
      <c r="AP84" s="50"/>
      <c r="AQ84" s="50"/>
      <c r="AR84" s="50"/>
      <c r="AS84" s="50"/>
      <c r="AT84" s="50"/>
      <c r="AU84" s="50"/>
      <c r="AV84" s="50"/>
      <c r="AW84" s="50"/>
      <c r="AX84" s="50"/>
      <c r="AY84" s="50"/>
      <c r="AZ84" s="50"/>
      <c r="BA84" s="50"/>
      <c r="BB84" s="50"/>
      <c r="BC84" s="50"/>
      <c r="BD84" s="50"/>
      <c r="BE84" s="50"/>
      <c r="BF84" s="50"/>
      <c r="BG84" s="50"/>
      <c r="BH84" s="50"/>
      <c r="BI84" s="50"/>
      <c r="BJ84" s="50"/>
      <c r="BK84" s="50"/>
      <c r="BL84" s="50"/>
      <c r="BM84" s="50"/>
      <c r="BN84" s="50"/>
      <c r="BO84" s="50"/>
      <c r="BP84" s="50"/>
      <c r="BQ84" s="50"/>
      <c r="BR84" s="50"/>
      <c r="BS84" s="50"/>
      <c r="BT84" s="50"/>
      <c r="BU84" s="50"/>
      <c r="BV84" s="50"/>
      <c r="BW84" s="50"/>
      <c r="BX84" s="50"/>
      <c r="BY84" s="50"/>
      <c r="BZ84" s="51"/>
    </row>
    <row r="85" spans="1:78" x14ac:dyDescent="0.2">
      <c r="A85" s="52"/>
      <c r="B85" s="44"/>
      <c r="C85" s="82"/>
      <c r="D85" s="82"/>
      <c r="E85" s="61"/>
      <c r="F85" s="49"/>
      <c r="G85" s="50"/>
      <c r="H85" s="50"/>
      <c r="I85" s="5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50"/>
      <c r="AM85" s="50"/>
      <c r="AN85" s="50"/>
      <c r="AO85" s="50"/>
      <c r="AP85" s="50"/>
      <c r="AQ85" s="50"/>
      <c r="AR85" s="50"/>
      <c r="AS85" s="50"/>
      <c r="AT85" s="50"/>
      <c r="AU85" s="50"/>
      <c r="AV85" s="50"/>
      <c r="AW85" s="50"/>
      <c r="AX85" s="50"/>
      <c r="AY85" s="50"/>
      <c r="AZ85" s="50"/>
      <c r="BA85" s="50"/>
      <c r="BB85" s="50"/>
      <c r="BC85" s="50"/>
      <c r="BD85" s="50"/>
      <c r="BE85" s="50"/>
      <c r="BF85" s="50"/>
      <c r="BG85" s="50"/>
      <c r="BH85" s="50"/>
      <c r="BI85" s="50"/>
      <c r="BJ85" s="50"/>
      <c r="BK85" s="50"/>
      <c r="BL85" s="50"/>
      <c r="BM85" s="50"/>
      <c r="BN85" s="50"/>
      <c r="BO85" s="50"/>
      <c r="BP85" s="50"/>
      <c r="BQ85" s="50"/>
      <c r="BR85" s="50"/>
      <c r="BS85" s="50"/>
      <c r="BT85" s="50"/>
      <c r="BU85" s="50"/>
      <c r="BV85" s="50"/>
      <c r="BW85" s="50"/>
      <c r="BX85" s="50"/>
      <c r="BY85" s="50"/>
      <c r="BZ85" s="51"/>
    </row>
    <row r="86" spans="1:78" x14ac:dyDescent="0.2">
      <c r="A86" s="52"/>
      <c r="B86" s="44"/>
      <c r="C86" s="82"/>
      <c r="D86" s="82"/>
      <c r="E86" s="61"/>
      <c r="F86" s="49"/>
      <c r="G86" s="50"/>
      <c r="H86" s="50"/>
      <c r="I86" s="50"/>
      <c r="J86" s="50"/>
      <c r="K86" s="50"/>
      <c r="L86" s="50"/>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c r="AP86" s="50"/>
      <c r="AQ86" s="50"/>
      <c r="AR86" s="50"/>
      <c r="AS86" s="50"/>
      <c r="AT86" s="50"/>
      <c r="AU86" s="50"/>
      <c r="AV86" s="50"/>
      <c r="AW86" s="50"/>
      <c r="AX86" s="50"/>
      <c r="AY86" s="50"/>
      <c r="AZ86" s="50"/>
      <c r="BA86" s="50"/>
      <c r="BB86" s="50"/>
      <c r="BC86" s="50"/>
      <c r="BD86" s="50"/>
      <c r="BE86" s="50"/>
      <c r="BF86" s="50"/>
      <c r="BG86" s="50"/>
      <c r="BH86" s="50"/>
      <c r="BI86" s="50"/>
      <c r="BJ86" s="50"/>
      <c r="BK86" s="50"/>
      <c r="BL86" s="50"/>
      <c r="BM86" s="50"/>
      <c r="BN86" s="50"/>
      <c r="BO86" s="50"/>
      <c r="BP86" s="50"/>
      <c r="BQ86" s="50"/>
      <c r="BR86" s="50"/>
      <c r="BS86" s="50"/>
      <c r="BT86" s="50"/>
      <c r="BU86" s="50"/>
      <c r="BV86" s="50"/>
      <c r="BW86" s="50"/>
      <c r="BX86" s="50"/>
      <c r="BY86" s="50"/>
      <c r="BZ86" s="51"/>
    </row>
    <row r="87" spans="1:78" x14ac:dyDescent="0.2">
      <c r="A87" s="52"/>
      <c r="B87" s="44"/>
      <c r="C87" s="82"/>
      <c r="D87" s="82"/>
      <c r="E87" s="61"/>
      <c r="F87" s="49"/>
      <c r="G87" s="50"/>
      <c r="H87" s="50"/>
      <c r="I87" s="5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50"/>
      <c r="AJ87" s="50"/>
      <c r="AK87" s="50"/>
      <c r="AL87" s="50"/>
      <c r="AM87" s="50"/>
      <c r="AN87" s="50"/>
      <c r="AO87" s="50"/>
      <c r="AP87" s="50"/>
      <c r="AQ87" s="50"/>
      <c r="AR87" s="50"/>
      <c r="AS87" s="50"/>
      <c r="AT87" s="50"/>
      <c r="AU87" s="50"/>
      <c r="AV87" s="50"/>
      <c r="AW87" s="50"/>
      <c r="AX87" s="50"/>
      <c r="AY87" s="50"/>
      <c r="AZ87" s="50"/>
      <c r="BA87" s="50"/>
      <c r="BB87" s="50"/>
      <c r="BC87" s="50"/>
      <c r="BD87" s="50"/>
      <c r="BE87" s="50"/>
      <c r="BF87" s="50"/>
      <c r="BG87" s="50"/>
      <c r="BH87" s="50"/>
      <c r="BI87" s="50"/>
      <c r="BJ87" s="50"/>
      <c r="BK87" s="50"/>
      <c r="BL87" s="50"/>
      <c r="BM87" s="50"/>
      <c r="BN87" s="50"/>
      <c r="BO87" s="50"/>
      <c r="BP87" s="50"/>
      <c r="BQ87" s="50"/>
      <c r="BR87" s="50"/>
      <c r="BS87" s="50"/>
      <c r="BT87" s="50"/>
      <c r="BU87" s="50"/>
      <c r="BV87" s="50"/>
      <c r="BW87" s="50"/>
      <c r="BX87" s="50"/>
      <c r="BY87" s="50"/>
      <c r="BZ87" s="51"/>
    </row>
    <row r="88" spans="1:78" x14ac:dyDescent="0.2">
      <c r="A88" s="48"/>
      <c r="B88" s="44"/>
      <c r="C88" s="82"/>
      <c r="D88" s="82"/>
      <c r="E88" s="61"/>
      <c r="F88" s="49"/>
      <c r="G88" s="50"/>
      <c r="H88" s="50"/>
      <c r="I88" s="50"/>
      <c r="J88" s="50"/>
      <c r="K88" s="50"/>
      <c r="L88" s="50"/>
      <c r="M88" s="50"/>
      <c r="N88" s="50"/>
      <c r="O88" s="50"/>
      <c r="P88" s="50"/>
      <c r="Q88" s="50"/>
      <c r="R88" s="50"/>
      <c r="S88" s="50"/>
      <c r="T88" s="50"/>
      <c r="U88" s="50"/>
      <c r="V88" s="50"/>
      <c r="W88" s="50"/>
      <c r="X88" s="50"/>
      <c r="Y88" s="50"/>
      <c r="Z88" s="50"/>
      <c r="AA88" s="50"/>
      <c r="AB88" s="50"/>
      <c r="AC88" s="50"/>
      <c r="AD88" s="50"/>
      <c r="AE88" s="50"/>
      <c r="AF88" s="50"/>
      <c r="AG88" s="50"/>
      <c r="AH88" s="50"/>
      <c r="AI88" s="50"/>
      <c r="AJ88" s="50"/>
      <c r="AK88" s="50"/>
      <c r="AL88" s="50"/>
      <c r="AM88" s="50"/>
      <c r="AN88" s="50"/>
      <c r="AO88" s="50"/>
      <c r="AP88" s="50"/>
      <c r="AQ88" s="50"/>
      <c r="AR88" s="50"/>
      <c r="AS88" s="50"/>
      <c r="AT88" s="50"/>
      <c r="AU88" s="50"/>
      <c r="AV88" s="50"/>
      <c r="AW88" s="50"/>
      <c r="AX88" s="50"/>
      <c r="AY88" s="50"/>
      <c r="AZ88" s="50"/>
      <c r="BA88" s="50"/>
      <c r="BB88" s="50"/>
      <c r="BC88" s="50"/>
      <c r="BD88" s="50"/>
      <c r="BE88" s="50"/>
      <c r="BF88" s="50"/>
      <c r="BG88" s="50"/>
      <c r="BH88" s="50"/>
      <c r="BI88" s="50"/>
      <c r="BJ88" s="50"/>
      <c r="BK88" s="50"/>
      <c r="BL88" s="50"/>
      <c r="BM88" s="50"/>
      <c r="BN88" s="50"/>
      <c r="BO88" s="50"/>
      <c r="BP88" s="50"/>
      <c r="BQ88" s="50"/>
      <c r="BR88" s="50"/>
      <c r="BS88" s="50"/>
      <c r="BT88" s="50"/>
      <c r="BU88" s="50"/>
      <c r="BV88" s="50"/>
      <c r="BW88" s="50"/>
      <c r="BX88" s="50"/>
      <c r="BY88" s="50"/>
      <c r="BZ88" s="51"/>
    </row>
    <row r="89" spans="1:78" x14ac:dyDescent="0.2">
      <c r="A89" s="48"/>
      <c r="B89" s="44"/>
      <c r="C89" s="82"/>
      <c r="D89" s="82"/>
      <c r="E89" s="61"/>
      <c r="F89" s="49"/>
      <c r="G89" s="50"/>
      <c r="H89" s="50"/>
      <c r="I89" s="50"/>
      <c r="J89" s="50"/>
      <c r="K89" s="50"/>
      <c r="L89" s="50"/>
      <c r="M89" s="50"/>
      <c r="N89" s="50"/>
      <c r="O89" s="50"/>
      <c r="P89" s="50"/>
      <c r="Q89" s="50"/>
      <c r="R89" s="50"/>
      <c r="S89" s="50"/>
      <c r="T89" s="50"/>
      <c r="U89" s="50"/>
      <c r="V89" s="50"/>
      <c r="W89" s="50"/>
      <c r="X89" s="50"/>
      <c r="Y89" s="50"/>
      <c r="Z89" s="50"/>
      <c r="AA89" s="50"/>
      <c r="AB89" s="50"/>
      <c r="AC89" s="50"/>
      <c r="AD89" s="50"/>
      <c r="AE89" s="50"/>
      <c r="AF89" s="50"/>
      <c r="AG89" s="50"/>
      <c r="AH89" s="50"/>
      <c r="AI89" s="50"/>
      <c r="AJ89" s="50"/>
      <c r="AK89" s="50"/>
      <c r="AL89" s="50"/>
      <c r="AM89" s="50"/>
      <c r="AN89" s="50"/>
      <c r="AO89" s="50"/>
      <c r="AP89" s="50"/>
      <c r="AQ89" s="50"/>
      <c r="AR89" s="50"/>
      <c r="AS89" s="50"/>
      <c r="AT89" s="50"/>
      <c r="AU89" s="50"/>
      <c r="AV89" s="50"/>
      <c r="AW89" s="50"/>
      <c r="AX89" s="50"/>
      <c r="AY89" s="50"/>
      <c r="AZ89" s="50"/>
      <c r="BA89" s="50"/>
      <c r="BB89" s="50"/>
      <c r="BC89" s="50"/>
      <c r="BD89" s="50"/>
      <c r="BE89" s="50"/>
      <c r="BF89" s="50"/>
      <c r="BG89" s="50"/>
      <c r="BH89" s="50"/>
      <c r="BI89" s="50"/>
      <c r="BJ89" s="50"/>
      <c r="BK89" s="50"/>
      <c r="BL89" s="50"/>
      <c r="BM89" s="50"/>
      <c r="BN89" s="50"/>
      <c r="BO89" s="50"/>
      <c r="BP89" s="50"/>
      <c r="BQ89" s="50"/>
      <c r="BR89" s="50"/>
      <c r="BS89" s="50"/>
      <c r="BT89" s="50"/>
      <c r="BU89" s="50"/>
      <c r="BV89" s="50"/>
      <c r="BW89" s="50"/>
      <c r="BX89" s="50"/>
      <c r="BY89" s="50"/>
      <c r="BZ89" s="51"/>
    </row>
    <row r="90" spans="1:78" x14ac:dyDescent="0.2">
      <c r="A90" s="48"/>
      <c r="B90" s="44"/>
      <c r="C90" s="82"/>
      <c r="D90" s="82"/>
      <c r="E90" s="65"/>
      <c r="F90" s="49"/>
      <c r="G90" s="50"/>
      <c r="H90" s="50"/>
      <c r="I90" s="50"/>
      <c r="J90" s="50"/>
      <c r="K90" s="50"/>
      <c r="L90" s="50"/>
      <c r="M90" s="50"/>
      <c r="N90" s="50"/>
      <c r="O90" s="50"/>
      <c r="P90" s="50"/>
      <c r="Q90" s="50"/>
      <c r="R90" s="50"/>
      <c r="S90" s="50"/>
      <c r="T90" s="50"/>
      <c r="U90" s="50"/>
      <c r="V90" s="50"/>
      <c r="W90" s="50"/>
      <c r="X90" s="50"/>
      <c r="Y90" s="50"/>
      <c r="Z90" s="50"/>
      <c r="AA90" s="50"/>
      <c r="AB90" s="50"/>
      <c r="AC90" s="50"/>
      <c r="AD90" s="50"/>
      <c r="AE90" s="50"/>
      <c r="AF90" s="50"/>
      <c r="AG90" s="50"/>
      <c r="AH90" s="50"/>
      <c r="AI90" s="50"/>
      <c r="AJ90" s="50"/>
      <c r="AK90" s="50"/>
      <c r="AL90" s="50"/>
      <c r="AM90" s="50"/>
      <c r="AN90" s="50"/>
      <c r="AO90" s="50"/>
      <c r="AP90" s="50"/>
      <c r="AQ90" s="50"/>
      <c r="AR90" s="50"/>
      <c r="AS90" s="50"/>
      <c r="AT90" s="50"/>
      <c r="AU90" s="50"/>
      <c r="AV90" s="50"/>
      <c r="AW90" s="50"/>
      <c r="AX90" s="50"/>
      <c r="AY90" s="50"/>
      <c r="AZ90" s="50"/>
      <c r="BA90" s="50"/>
      <c r="BB90" s="50"/>
      <c r="BC90" s="50"/>
      <c r="BD90" s="50"/>
      <c r="BE90" s="50"/>
      <c r="BF90" s="50"/>
      <c r="BG90" s="50"/>
      <c r="BH90" s="50"/>
      <c r="BI90" s="50"/>
      <c r="BJ90" s="50"/>
      <c r="BK90" s="50"/>
      <c r="BL90" s="50"/>
      <c r="BM90" s="50"/>
      <c r="BN90" s="50"/>
      <c r="BO90" s="50"/>
      <c r="BP90" s="50"/>
      <c r="BQ90" s="50"/>
      <c r="BR90" s="50"/>
      <c r="BS90" s="50"/>
      <c r="BT90" s="50"/>
      <c r="BU90" s="50"/>
      <c r="BV90" s="50"/>
      <c r="BW90" s="50"/>
      <c r="BX90" s="50"/>
      <c r="BY90" s="50"/>
      <c r="BZ90" s="51"/>
    </row>
    <row r="91" spans="1:78" x14ac:dyDescent="0.2">
      <c r="A91" s="48"/>
      <c r="B91" s="44"/>
      <c r="C91" s="82"/>
      <c r="D91" s="82"/>
      <c r="E91" s="61"/>
      <c r="F91" s="73"/>
      <c r="G91" s="74"/>
      <c r="H91" s="74"/>
      <c r="I91" s="74"/>
      <c r="J91" s="74"/>
      <c r="K91" s="74"/>
      <c r="L91" s="74"/>
      <c r="M91" s="74"/>
      <c r="N91" s="74"/>
      <c r="O91" s="74"/>
      <c r="P91" s="74"/>
      <c r="Q91" s="74"/>
      <c r="R91" s="74"/>
      <c r="S91" s="74"/>
      <c r="T91" s="74"/>
      <c r="U91" s="74"/>
      <c r="V91" s="74"/>
      <c r="W91" s="74"/>
      <c r="X91" s="74"/>
      <c r="Y91" s="74"/>
      <c r="Z91" s="74"/>
      <c r="AA91" s="74"/>
      <c r="AB91" s="74"/>
      <c r="AC91" s="74"/>
      <c r="AD91" s="74"/>
      <c r="AE91" s="74"/>
      <c r="AF91" s="74"/>
      <c r="AG91" s="74"/>
      <c r="AH91" s="74"/>
      <c r="AI91" s="74"/>
      <c r="AJ91" s="74"/>
      <c r="AK91" s="74"/>
      <c r="AL91" s="74"/>
      <c r="AM91" s="74"/>
      <c r="AN91" s="74"/>
      <c r="AO91" s="74"/>
      <c r="AP91" s="74"/>
      <c r="AQ91" s="74"/>
      <c r="AR91" s="74"/>
      <c r="AS91" s="74"/>
      <c r="AT91" s="74"/>
      <c r="AU91" s="74"/>
      <c r="AV91" s="74"/>
      <c r="AW91" s="74"/>
      <c r="AX91" s="74"/>
      <c r="AY91" s="74"/>
      <c r="AZ91" s="74"/>
      <c r="BA91" s="74"/>
      <c r="BB91" s="74"/>
      <c r="BC91" s="74"/>
      <c r="BD91" s="74"/>
      <c r="BE91" s="74"/>
      <c r="BF91" s="74"/>
      <c r="BG91" s="74"/>
      <c r="BH91" s="74"/>
      <c r="BI91" s="74"/>
      <c r="BJ91" s="74"/>
      <c r="BK91" s="74"/>
      <c r="BL91" s="74"/>
      <c r="BM91" s="74"/>
      <c r="BN91" s="74"/>
      <c r="BO91" s="74"/>
      <c r="BP91" s="74"/>
      <c r="BQ91" s="74"/>
      <c r="BR91" s="74"/>
      <c r="BS91" s="74"/>
      <c r="BT91" s="74"/>
      <c r="BU91" s="74"/>
      <c r="BV91" s="74"/>
      <c r="BW91" s="74"/>
      <c r="BX91" s="74"/>
      <c r="BY91" s="74"/>
      <c r="BZ91" s="75"/>
    </row>
    <row r="92" spans="1:78" x14ac:dyDescent="0.2">
      <c r="A92" s="48"/>
      <c r="B92" s="44"/>
      <c r="C92" s="82"/>
      <c r="D92" s="82"/>
      <c r="E92" s="61"/>
      <c r="F92" s="49"/>
      <c r="G92" s="50"/>
      <c r="H92" s="50"/>
      <c r="I92" s="50"/>
      <c r="J92" s="50"/>
      <c r="K92" s="50"/>
      <c r="L92" s="50"/>
      <c r="M92" s="50"/>
      <c r="N92" s="50"/>
      <c r="O92" s="50"/>
      <c r="P92" s="50"/>
      <c r="Q92" s="50"/>
      <c r="R92" s="50"/>
      <c r="S92" s="50"/>
      <c r="T92" s="50"/>
      <c r="U92" s="50"/>
      <c r="V92" s="50"/>
      <c r="W92" s="50"/>
      <c r="X92" s="50"/>
      <c r="Y92" s="50"/>
      <c r="Z92" s="50"/>
      <c r="AA92" s="50"/>
      <c r="AB92" s="50"/>
      <c r="AC92" s="50"/>
      <c r="AD92" s="50"/>
      <c r="AE92" s="50"/>
      <c r="AF92" s="50"/>
      <c r="AG92" s="50"/>
      <c r="AH92" s="50"/>
      <c r="AI92" s="50"/>
      <c r="AJ92" s="50"/>
      <c r="AK92" s="50"/>
      <c r="AL92" s="50"/>
      <c r="AM92" s="50"/>
      <c r="AN92" s="50"/>
      <c r="AO92" s="50"/>
      <c r="AP92" s="50"/>
      <c r="AQ92" s="50"/>
      <c r="AR92" s="50"/>
      <c r="AS92" s="50"/>
      <c r="AT92" s="50"/>
      <c r="AU92" s="50"/>
      <c r="AV92" s="50"/>
      <c r="AW92" s="50"/>
      <c r="AX92" s="50"/>
      <c r="AY92" s="50"/>
      <c r="AZ92" s="50"/>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1"/>
    </row>
    <row r="93" spans="1:78" x14ac:dyDescent="0.2">
      <c r="A93" s="52"/>
      <c r="B93" s="44"/>
      <c r="C93" s="82"/>
      <c r="D93" s="82"/>
      <c r="E93" s="65"/>
      <c r="F93" s="49"/>
      <c r="G93" s="50"/>
      <c r="H93" s="50"/>
      <c r="I93" s="50"/>
      <c r="J93" s="50"/>
      <c r="K93" s="50"/>
      <c r="L93" s="50"/>
      <c r="M93" s="50"/>
      <c r="N93" s="50"/>
      <c r="O93" s="50"/>
      <c r="P93" s="50"/>
      <c r="Q93" s="50"/>
      <c r="R93" s="50"/>
      <c r="S93" s="50"/>
      <c r="T93" s="50"/>
      <c r="U93" s="50"/>
      <c r="V93" s="50"/>
      <c r="W93" s="50"/>
      <c r="X93" s="50"/>
      <c r="Y93" s="50"/>
      <c r="Z93" s="50"/>
      <c r="AA93" s="50"/>
      <c r="AB93" s="50"/>
      <c r="AC93" s="50"/>
      <c r="AD93" s="50"/>
      <c r="AE93" s="50"/>
      <c r="AF93" s="50"/>
      <c r="AG93" s="50"/>
      <c r="AH93" s="50"/>
      <c r="AI93" s="50"/>
      <c r="AJ93" s="50"/>
      <c r="AK93" s="50"/>
      <c r="AL93" s="50"/>
      <c r="AM93" s="50"/>
      <c r="AN93" s="50"/>
      <c r="AO93" s="50"/>
      <c r="AP93" s="50"/>
      <c r="AQ93" s="50"/>
      <c r="AR93" s="50"/>
      <c r="AS93" s="50"/>
      <c r="AT93" s="50"/>
      <c r="AU93" s="50"/>
      <c r="AV93" s="50"/>
      <c r="AW93" s="50"/>
      <c r="AX93" s="50"/>
      <c r="AY93" s="50"/>
      <c r="AZ93" s="50"/>
      <c r="BA93" s="50"/>
      <c r="BB93" s="50"/>
      <c r="BC93" s="50"/>
      <c r="BD93" s="50"/>
      <c r="BE93" s="50"/>
      <c r="BF93" s="50"/>
      <c r="BG93" s="50"/>
      <c r="BH93" s="50"/>
      <c r="BI93" s="50"/>
      <c r="BJ93" s="50"/>
      <c r="BK93" s="50"/>
      <c r="BL93" s="50"/>
      <c r="BM93" s="50"/>
      <c r="BN93" s="50"/>
      <c r="BO93" s="50"/>
      <c r="BP93" s="50"/>
      <c r="BQ93" s="50"/>
      <c r="BR93" s="50"/>
      <c r="BS93" s="50"/>
      <c r="BT93" s="50"/>
      <c r="BU93" s="50"/>
      <c r="BV93" s="50"/>
      <c r="BW93" s="50"/>
      <c r="BX93" s="50"/>
      <c r="BY93" s="50"/>
      <c r="BZ93" s="51"/>
    </row>
    <row r="94" spans="1:78" x14ac:dyDescent="0.2">
      <c r="A94" s="48"/>
      <c r="B94" s="44"/>
      <c r="C94" s="82"/>
      <c r="D94" s="82"/>
      <c r="E94" s="61"/>
      <c r="F94" s="49"/>
      <c r="G94" s="50"/>
      <c r="H94" s="50"/>
      <c r="I94" s="50"/>
      <c r="J94" s="50"/>
      <c r="K94" s="50"/>
      <c r="L94" s="50"/>
      <c r="M94" s="50"/>
      <c r="N94" s="50"/>
      <c r="O94" s="50"/>
      <c r="P94" s="50"/>
      <c r="Q94" s="50"/>
      <c r="R94" s="50"/>
      <c r="S94" s="50"/>
      <c r="T94" s="50"/>
      <c r="U94" s="50"/>
      <c r="V94" s="50"/>
      <c r="W94" s="50"/>
      <c r="X94" s="50"/>
      <c r="Y94" s="50"/>
      <c r="Z94" s="50"/>
      <c r="AA94" s="50"/>
      <c r="AB94" s="50"/>
      <c r="AC94" s="50"/>
      <c r="AD94" s="50"/>
      <c r="AE94" s="50"/>
      <c r="AF94" s="50"/>
      <c r="AG94" s="50"/>
      <c r="AH94" s="50"/>
      <c r="AI94" s="50"/>
      <c r="AJ94" s="50"/>
      <c r="AK94" s="50"/>
      <c r="AL94" s="50"/>
      <c r="AM94" s="50"/>
      <c r="AN94" s="50"/>
      <c r="AO94" s="50"/>
      <c r="AP94" s="50"/>
      <c r="AQ94" s="50"/>
      <c r="AR94" s="50"/>
      <c r="AS94" s="50"/>
      <c r="AT94" s="50"/>
      <c r="AU94" s="50"/>
      <c r="AV94" s="50"/>
      <c r="AW94" s="50"/>
      <c r="AX94" s="50"/>
      <c r="AY94" s="50"/>
      <c r="AZ94" s="50"/>
      <c r="BA94" s="50"/>
      <c r="BB94" s="50"/>
      <c r="BC94" s="50"/>
      <c r="BD94" s="50"/>
      <c r="BE94" s="50"/>
      <c r="BF94" s="50"/>
      <c r="BG94" s="50"/>
      <c r="BH94" s="50"/>
      <c r="BI94" s="50"/>
      <c r="BJ94" s="50"/>
      <c r="BK94" s="50"/>
      <c r="BL94" s="50"/>
      <c r="BM94" s="50"/>
      <c r="BN94" s="50"/>
      <c r="BO94" s="50"/>
      <c r="BP94" s="50"/>
      <c r="BQ94" s="50"/>
      <c r="BR94" s="50"/>
      <c r="BS94" s="50"/>
      <c r="BT94" s="50"/>
      <c r="BU94" s="50"/>
      <c r="BV94" s="50"/>
      <c r="BW94" s="50"/>
      <c r="BX94" s="50"/>
      <c r="BY94" s="50"/>
      <c r="BZ94" s="51"/>
    </row>
    <row r="95" spans="1:78" x14ac:dyDescent="0.2">
      <c r="A95" s="52"/>
      <c r="B95" s="44"/>
      <c r="C95" s="82"/>
      <c r="D95" s="82"/>
      <c r="E95" s="61"/>
      <c r="F95" s="49"/>
      <c r="G95" s="50"/>
      <c r="H95" s="50"/>
      <c r="I95" s="50"/>
      <c r="J95" s="50"/>
      <c r="K95" s="50"/>
      <c r="L95" s="50"/>
      <c r="M95" s="50"/>
      <c r="N95" s="50"/>
      <c r="O95" s="50"/>
      <c r="P95" s="50"/>
      <c r="Q95" s="50"/>
      <c r="R95" s="50"/>
      <c r="S95" s="50"/>
      <c r="T95" s="50"/>
      <c r="U95" s="50"/>
      <c r="V95" s="50"/>
      <c r="W95" s="50"/>
      <c r="X95" s="50"/>
      <c r="Y95" s="50"/>
      <c r="Z95" s="50"/>
      <c r="AA95" s="50"/>
      <c r="AB95" s="50"/>
      <c r="AC95" s="50"/>
      <c r="AD95" s="50"/>
      <c r="AE95" s="50"/>
      <c r="AF95" s="50"/>
      <c r="AG95" s="50"/>
      <c r="AH95" s="50"/>
      <c r="AI95" s="50"/>
      <c r="AJ95" s="50"/>
      <c r="AK95" s="50"/>
      <c r="AL95" s="50"/>
      <c r="AM95" s="50"/>
      <c r="AN95" s="50"/>
      <c r="AO95" s="50"/>
      <c r="AP95" s="50"/>
      <c r="AQ95" s="50"/>
      <c r="AR95" s="50"/>
      <c r="AS95" s="50"/>
      <c r="AT95" s="50"/>
      <c r="AU95" s="50"/>
      <c r="AV95" s="50"/>
      <c r="AW95" s="50"/>
      <c r="AX95" s="50"/>
      <c r="AY95" s="50"/>
      <c r="AZ95" s="50"/>
      <c r="BA95" s="50"/>
      <c r="BB95" s="50"/>
      <c r="BC95" s="50"/>
      <c r="BD95" s="50"/>
      <c r="BE95" s="50"/>
      <c r="BF95" s="50"/>
      <c r="BG95" s="50"/>
      <c r="BH95" s="50"/>
      <c r="BI95" s="50"/>
      <c r="BJ95" s="50"/>
      <c r="BK95" s="50"/>
      <c r="BL95" s="50"/>
      <c r="BM95" s="50"/>
      <c r="BN95" s="50"/>
      <c r="BO95" s="50"/>
      <c r="BP95" s="50"/>
      <c r="BQ95" s="50"/>
      <c r="BR95" s="50"/>
      <c r="BS95" s="50"/>
      <c r="BT95" s="50"/>
      <c r="BU95" s="50"/>
      <c r="BV95" s="50"/>
      <c r="BW95" s="50"/>
      <c r="BX95" s="50"/>
      <c r="BY95" s="50"/>
      <c r="BZ95" s="51"/>
    </row>
    <row r="96" spans="1:78" x14ac:dyDescent="0.2">
      <c r="A96" s="57"/>
      <c r="B96" s="44"/>
      <c r="C96" s="82"/>
      <c r="D96" s="82"/>
      <c r="E96" s="61"/>
      <c r="F96" s="49"/>
      <c r="G96" s="50"/>
      <c r="H96" s="50"/>
      <c r="I96" s="50"/>
      <c r="J96" s="50"/>
      <c r="K96" s="50"/>
      <c r="L96" s="50"/>
      <c r="M96" s="50"/>
      <c r="N96" s="50"/>
      <c r="O96" s="50"/>
      <c r="P96" s="50"/>
      <c r="Q96" s="50"/>
      <c r="R96" s="50"/>
      <c r="S96" s="50"/>
      <c r="T96" s="50"/>
      <c r="U96" s="50"/>
      <c r="V96" s="50"/>
      <c r="W96" s="50"/>
      <c r="X96" s="50"/>
      <c r="Y96" s="50"/>
      <c r="Z96" s="50"/>
      <c r="AA96" s="50"/>
      <c r="AB96" s="50"/>
      <c r="AC96" s="50"/>
      <c r="AD96" s="50"/>
      <c r="AE96" s="50"/>
      <c r="AF96" s="50"/>
      <c r="AG96" s="50"/>
      <c r="AH96" s="50"/>
      <c r="AI96" s="50"/>
      <c r="AJ96" s="50"/>
      <c r="AK96" s="50"/>
      <c r="AL96" s="50"/>
      <c r="AM96" s="50"/>
      <c r="AN96" s="50"/>
      <c r="AO96" s="50"/>
      <c r="AP96" s="50"/>
      <c r="AQ96" s="50"/>
      <c r="AR96" s="50"/>
      <c r="AS96" s="50"/>
      <c r="AT96" s="50"/>
      <c r="AU96" s="50"/>
      <c r="AV96" s="50"/>
      <c r="AW96" s="50"/>
      <c r="AX96" s="50"/>
      <c r="AY96" s="50"/>
      <c r="AZ96" s="50"/>
      <c r="BA96" s="50"/>
      <c r="BB96" s="50"/>
      <c r="BC96" s="50"/>
      <c r="BD96" s="50"/>
      <c r="BE96" s="50"/>
      <c r="BF96" s="50"/>
      <c r="BG96" s="50"/>
      <c r="BH96" s="50"/>
      <c r="BI96" s="50"/>
      <c r="BJ96" s="50"/>
      <c r="BK96" s="50"/>
      <c r="BL96" s="50"/>
      <c r="BM96" s="50"/>
      <c r="BN96" s="50"/>
      <c r="BO96" s="50"/>
      <c r="BP96" s="50"/>
      <c r="BQ96" s="50"/>
      <c r="BR96" s="50"/>
      <c r="BS96" s="50"/>
      <c r="BT96" s="50"/>
      <c r="BU96" s="50"/>
      <c r="BV96" s="50"/>
      <c r="BW96" s="50"/>
      <c r="BX96" s="50"/>
      <c r="BY96" s="50"/>
      <c r="BZ96" s="51"/>
    </row>
    <row r="97" spans="1:78" x14ac:dyDescent="0.2">
      <c r="A97" s="43"/>
      <c r="B97" s="44"/>
      <c r="C97" s="82"/>
      <c r="D97" s="82"/>
      <c r="E97" s="61"/>
      <c r="F97" s="49"/>
      <c r="G97" s="50"/>
      <c r="H97" s="50"/>
      <c r="I97" s="50"/>
      <c r="J97" s="50"/>
      <c r="K97" s="50"/>
      <c r="L97" s="50"/>
      <c r="M97" s="50"/>
      <c r="N97" s="50"/>
      <c r="O97" s="50"/>
      <c r="P97" s="50"/>
      <c r="Q97" s="50"/>
      <c r="R97" s="50"/>
      <c r="S97" s="50"/>
      <c r="T97" s="50"/>
      <c r="U97" s="50"/>
      <c r="V97" s="50"/>
      <c r="W97" s="50"/>
      <c r="X97" s="50"/>
      <c r="Y97" s="50"/>
      <c r="Z97" s="50"/>
      <c r="AA97" s="50"/>
      <c r="AB97" s="50"/>
      <c r="AC97" s="50"/>
      <c r="AD97" s="50"/>
      <c r="AE97" s="50"/>
      <c r="AF97" s="50"/>
      <c r="AG97" s="50"/>
      <c r="AH97" s="50"/>
      <c r="AI97" s="50"/>
      <c r="AJ97" s="50"/>
      <c r="AK97" s="50"/>
      <c r="AL97" s="50"/>
      <c r="AM97" s="50"/>
      <c r="AN97" s="50"/>
      <c r="AO97" s="50"/>
      <c r="AP97" s="50"/>
      <c r="AQ97" s="50"/>
      <c r="AR97" s="50"/>
      <c r="AS97" s="50"/>
      <c r="AT97" s="50"/>
      <c r="AU97" s="50"/>
      <c r="AV97" s="50"/>
      <c r="AW97" s="50"/>
      <c r="AX97" s="50"/>
      <c r="AY97" s="50"/>
      <c r="AZ97" s="50"/>
      <c r="BA97" s="50"/>
      <c r="BB97" s="50"/>
      <c r="BC97" s="50"/>
      <c r="BD97" s="50"/>
      <c r="BE97" s="50"/>
      <c r="BF97" s="50"/>
      <c r="BG97" s="50"/>
      <c r="BH97" s="50"/>
      <c r="BI97" s="50"/>
      <c r="BJ97" s="50"/>
      <c r="BK97" s="50"/>
      <c r="BL97" s="50"/>
      <c r="BM97" s="50"/>
      <c r="BN97" s="50"/>
      <c r="BO97" s="50"/>
      <c r="BP97" s="50"/>
      <c r="BQ97" s="50"/>
      <c r="BR97" s="50"/>
      <c r="BS97" s="50"/>
      <c r="BT97" s="50"/>
      <c r="BU97" s="50"/>
      <c r="BV97" s="50"/>
      <c r="BW97" s="50"/>
      <c r="BX97" s="50"/>
      <c r="BY97" s="50"/>
      <c r="BZ97" s="51"/>
    </row>
    <row r="98" spans="1:78" x14ac:dyDescent="0.2">
      <c r="A98" s="48"/>
      <c r="B98" s="44"/>
      <c r="C98" s="82"/>
      <c r="D98" s="82"/>
      <c r="E98" s="61"/>
      <c r="F98" s="49"/>
      <c r="G98" s="50"/>
      <c r="H98" s="50"/>
      <c r="I98" s="50"/>
      <c r="J98" s="50"/>
      <c r="K98" s="50"/>
      <c r="L98" s="50"/>
      <c r="M98" s="50"/>
      <c r="N98" s="50"/>
      <c r="O98" s="50"/>
      <c r="P98" s="50"/>
      <c r="Q98" s="50"/>
      <c r="R98" s="50"/>
      <c r="S98" s="50"/>
      <c r="T98" s="50"/>
      <c r="U98" s="50"/>
      <c r="V98" s="50"/>
      <c r="W98" s="50"/>
      <c r="X98" s="50"/>
      <c r="Y98" s="50"/>
      <c r="Z98" s="50"/>
      <c r="AA98" s="50"/>
      <c r="AB98" s="50"/>
      <c r="AC98" s="50"/>
      <c r="AD98" s="50"/>
      <c r="AE98" s="50"/>
      <c r="AF98" s="50"/>
      <c r="AG98" s="50"/>
      <c r="AH98" s="50"/>
      <c r="AI98" s="50"/>
      <c r="AJ98" s="50"/>
      <c r="AK98" s="50"/>
      <c r="AL98" s="50"/>
      <c r="AM98" s="50"/>
      <c r="AN98" s="50"/>
      <c r="AO98" s="50"/>
      <c r="AP98" s="50"/>
      <c r="AQ98" s="50"/>
      <c r="AR98" s="50"/>
      <c r="AS98" s="50"/>
      <c r="AT98" s="50"/>
      <c r="AU98" s="50"/>
      <c r="AV98" s="50"/>
      <c r="AW98" s="50"/>
      <c r="AX98" s="50"/>
      <c r="AY98" s="50"/>
      <c r="AZ98" s="50"/>
      <c r="BA98" s="50"/>
      <c r="BB98" s="50"/>
      <c r="BC98" s="50"/>
      <c r="BD98" s="50"/>
      <c r="BE98" s="50"/>
      <c r="BF98" s="50"/>
      <c r="BG98" s="50"/>
      <c r="BH98" s="50"/>
      <c r="BI98" s="50"/>
      <c r="BJ98" s="50"/>
      <c r="BK98" s="50"/>
      <c r="BL98" s="50"/>
      <c r="BM98" s="50"/>
      <c r="BN98" s="50"/>
      <c r="BO98" s="50"/>
      <c r="BP98" s="50"/>
      <c r="BQ98" s="50"/>
      <c r="BR98" s="50"/>
      <c r="BS98" s="50"/>
      <c r="BT98" s="50"/>
      <c r="BU98" s="50"/>
      <c r="BV98" s="50"/>
      <c r="BW98" s="50"/>
      <c r="BX98" s="50"/>
      <c r="BY98" s="50"/>
      <c r="BZ98" s="51"/>
    </row>
    <row r="99" spans="1:78" x14ac:dyDescent="0.2">
      <c r="A99" s="48"/>
      <c r="B99" s="44"/>
      <c r="C99" s="82"/>
      <c r="D99" s="82"/>
      <c r="E99" s="61"/>
      <c r="F99" s="49"/>
      <c r="G99" s="50"/>
      <c r="H99" s="50"/>
      <c r="I99" s="50"/>
      <c r="J99" s="50"/>
      <c r="K99" s="50"/>
      <c r="L99" s="50"/>
      <c r="M99" s="50"/>
      <c r="N99" s="50"/>
      <c r="O99" s="50"/>
      <c r="P99" s="50"/>
      <c r="Q99" s="50"/>
      <c r="R99" s="50"/>
      <c r="S99" s="50"/>
      <c r="T99" s="50"/>
      <c r="U99" s="50"/>
      <c r="V99" s="50"/>
      <c r="W99" s="50"/>
      <c r="X99" s="50"/>
      <c r="Y99" s="50"/>
      <c r="Z99" s="50"/>
      <c r="AA99" s="50"/>
      <c r="AB99" s="50"/>
      <c r="AC99" s="50"/>
      <c r="AD99" s="50"/>
      <c r="AE99" s="50"/>
      <c r="AF99" s="50"/>
      <c r="AG99" s="50"/>
      <c r="AH99" s="50"/>
      <c r="AI99" s="50"/>
      <c r="AJ99" s="50"/>
      <c r="AK99" s="50"/>
      <c r="AL99" s="50"/>
      <c r="AM99" s="50"/>
      <c r="AN99" s="50"/>
      <c r="AO99" s="50"/>
      <c r="AP99" s="50"/>
      <c r="AQ99" s="50"/>
      <c r="AR99" s="50"/>
      <c r="AS99" s="50"/>
      <c r="AT99" s="50"/>
      <c r="AU99" s="50"/>
      <c r="AV99" s="50"/>
      <c r="AW99" s="50"/>
      <c r="AX99" s="50"/>
      <c r="AY99" s="50"/>
      <c r="AZ99" s="50"/>
      <c r="BA99" s="50"/>
      <c r="BB99" s="50"/>
      <c r="BC99" s="50"/>
      <c r="BD99" s="50"/>
      <c r="BE99" s="50"/>
      <c r="BF99" s="50"/>
      <c r="BG99" s="50"/>
      <c r="BH99" s="50"/>
      <c r="BI99" s="50"/>
      <c r="BJ99" s="50"/>
      <c r="BK99" s="50"/>
      <c r="BL99" s="50"/>
      <c r="BM99" s="50"/>
      <c r="BN99" s="50"/>
      <c r="BO99" s="50"/>
      <c r="BP99" s="50"/>
      <c r="BQ99" s="50"/>
      <c r="BR99" s="50"/>
      <c r="BS99" s="50"/>
      <c r="BT99" s="50"/>
      <c r="BU99" s="50"/>
      <c r="BV99" s="50"/>
      <c r="BW99" s="50"/>
      <c r="BX99" s="50"/>
      <c r="BY99" s="50"/>
      <c r="BZ99" s="51"/>
    </row>
    <row r="100" spans="1:78" x14ac:dyDescent="0.2">
      <c r="A100" s="48"/>
      <c r="B100" s="44"/>
      <c r="C100" s="82"/>
      <c r="D100" s="82"/>
      <c r="E100" s="61"/>
      <c r="F100" s="49"/>
      <c r="G100" s="50"/>
      <c r="H100" s="50"/>
      <c r="I100" s="50"/>
      <c r="J100" s="50"/>
      <c r="K100" s="50"/>
      <c r="L100" s="50"/>
      <c r="M100" s="50"/>
      <c r="N100" s="50"/>
      <c r="O100" s="50"/>
      <c r="P100" s="50"/>
      <c r="Q100" s="50"/>
      <c r="R100" s="50"/>
      <c r="S100" s="50"/>
      <c r="T100" s="50"/>
      <c r="U100" s="50"/>
      <c r="V100" s="50"/>
      <c r="W100" s="50"/>
      <c r="X100" s="50"/>
      <c r="Y100" s="50"/>
      <c r="Z100" s="50"/>
      <c r="AA100" s="50"/>
      <c r="AB100" s="50"/>
      <c r="AC100" s="50"/>
      <c r="AD100" s="50"/>
      <c r="AE100" s="50"/>
      <c r="AF100" s="50"/>
      <c r="AG100" s="50"/>
      <c r="AH100" s="50"/>
      <c r="AI100" s="50"/>
      <c r="AJ100" s="50"/>
      <c r="AK100" s="50"/>
      <c r="AL100" s="50"/>
      <c r="AM100" s="50"/>
      <c r="AN100" s="50"/>
      <c r="AO100" s="50"/>
      <c r="AP100" s="50"/>
      <c r="AQ100" s="50"/>
      <c r="AR100" s="50"/>
      <c r="AS100" s="50"/>
      <c r="AT100" s="50"/>
      <c r="AU100" s="50"/>
      <c r="AV100" s="50"/>
      <c r="AW100" s="50"/>
      <c r="AX100" s="50"/>
      <c r="AY100" s="50"/>
      <c r="AZ100" s="50"/>
      <c r="BA100" s="50"/>
      <c r="BB100" s="50"/>
      <c r="BC100" s="50"/>
      <c r="BD100" s="50"/>
      <c r="BE100" s="50"/>
      <c r="BF100" s="50"/>
      <c r="BG100" s="50"/>
      <c r="BH100" s="50"/>
      <c r="BI100" s="50"/>
      <c r="BJ100" s="50"/>
      <c r="BK100" s="50"/>
      <c r="BL100" s="50"/>
      <c r="BM100" s="50"/>
      <c r="BN100" s="50"/>
      <c r="BO100" s="50"/>
      <c r="BP100" s="50"/>
      <c r="BQ100" s="50"/>
      <c r="BR100" s="50"/>
      <c r="BS100" s="50"/>
      <c r="BT100" s="50"/>
      <c r="BU100" s="50"/>
      <c r="BV100" s="50"/>
      <c r="BW100" s="50"/>
      <c r="BX100" s="50"/>
      <c r="BY100" s="50"/>
      <c r="BZ100" s="51"/>
    </row>
    <row r="101" spans="1:78" x14ac:dyDescent="0.2">
      <c r="A101" s="48"/>
      <c r="B101" s="44"/>
      <c r="C101" s="82"/>
      <c r="D101" s="82"/>
      <c r="E101" s="61"/>
      <c r="F101" s="49"/>
      <c r="G101" s="50"/>
      <c r="H101" s="50"/>
      <c r="I101" s="50"/>
      <c r="J101" s="50"/>
      <c r="K101" s="50"/>
      <c r="L101" s="50"/>
      <c r="M101" s="50"/>
      <c r="N101" s="50"/>
      <c r="O101" s="50"/>
      <c r="P101" s="50"/>
      <c r="Q101" s="50"/>
      <c r="R101" s="50"/>
      <c r="S101" s="50"/>
      <c r="T101" s="50"/>
      <c r="U101" s="50"/>
      <c r="V101" s="50"/>
      <c r="W101" s="50"/>
      <c r="X101" s="50"/>
      <c r="Y101" s="50"/>
      <c r="Z101" s="50"/>
      <c r="AA101" s="50"/>
      <c r="AB101" s="50"/>
      <c r="AC101" s="50"/>
      <c r="AD101" s="50"/>
      <c r="AE101" s="50"/>
      <c r="AF101" s="50"/>
      <c r="AG101" s="50"/>
      <c r="AH101" s="50"/>
      <c r="AI101" s="50"/>
      <c r="AJ101" s="50"/>
      <c r="AK101" s="50"/>
      <c r="AL101" s="50"/>
      <c r="AM101" s="50"/>
      <c r="AN101" s="50"/>
      <c r="AO101" s="50"/>
      <c r="AP101" s="50"/>
      <c r="AQ101" s="50"/>
      <c r="AR101" s="50"/>
      <c r="AS101" s="50"/>
      <c r="AT101" s="50"/>
      <c r="AU101" s="50"/>
      <c r="AV101" s="50"/>
      <c r="AW101" s="50"/>
      <c r="AX101" s="50"/>
      <c r="AY101" s="50"/>
      <c r="AZ101" s="50"/>
      <c r="BA101" s="50"/>
      <c r="BB101" s="50"/>
      <c r="BC101" s="50"/>
      <c r="BD101" s="50"/>
      <c r="BE101" s="50"/>
      <c r="BF101" s="50"/>
      <c r="BG101" s="50"/>
      <c r="BH101" s="50"/>
      <c r="BI101" s="50"/>
      <c r="BJ101" s="50"/>
      <c r="BK101" s="50"/>
      <c r="BL101" s="50"/>
      <c r="BM101" s="50"/>
      <c r="BN101" s="50"/>
      <c r="BO101" s="50"/>
      <c r="BP101" s="50"/>
      <c r="BQ101" s="50"/>
      <c r="BR101" s="50"/>
      <c r="BS101" s="50"/>
      <c r="BT101" s="50"/>
      <c r="BU101" s="50"/>
      <c r="BV101" s="50"/>
      <c r="BW101" s="50"/>
      <c r="BX101" s="50"/>
      <c r="BY101" s="50"/>
      <c r="BZ101" s="51"/>
    </row>
    <row r="102" spans="1:78" x14ac:dyDescent="0.2">
      <c r="A102" s="48"/>
      <c r="B102" s="44"/>
      <c r="C102" s="82"/>
      <c r="D102" s="82"/>
      <c r="E102" s="61"/>
      <c r="F102" s="49"/>
      <c r="G102" s="50"/>
      <c r="H102" s="50"/>
      <c r="I102" s="50"/>
      <c r="J102" s="50"/>
      <c r="K102" s="50"/>
      <c r="L102" s="50"/>
      <c r="M102" s="50"/>
      <c r="N102" s="50"/>
      <c r="O102" s="50"/>
      <c r="P102" s="50"/>
      <c r="Q102" s="50"/>
      <c r="R102" s="50"/>
      <c r="S102" s="50"/>
      <c r="T102" s="50"/>
      <c r="U102" s="50"/>
      <c r="V102" s="50"/>
      <c r="W102" s="50"/>
      <c r="X102" s="50"/>
      <c r="Y102" s="50"/>
      <c r="Z102" s="50"/>
      <c r="AA102" s="50"/>
      <c r="AB102" s="50"/>
      <c r="AC102" s="50"/>
      <c r="AD102" s="50"/>
      <c r="AE102" s="50"/>
      <c r="AF102" s="50"/>
      <c r="AG102" s="50"/>
      <c r="AH102" s="50"/>
      <c r="AI102" s="50"/>
      <c r="AJ102" s="50"/>
      <c r="AK102" s="50"/>
      <c r="AL102" s="50"/>
      <c r="AM102" s="50"/>
      <c r="AN102" s="50"/>
      <c r="AO102" s="50"/>
      <c r="AP102" s="50"/>
      <c r="AQ102" s="50"/>
      <c r="AR102" s="50"/>
      <c r="AS102" s="50"/>
      <c r="AT102" s="50"/>
      <c r="AU102" s="50"/>
      <c r="AV102" s="50"/>
      <c r="AW102" s="50"/>
      <c r="AX102" s="50"/>
      <c r="AY102" s="50"/>
      <c r="AZ102" s="50"/>
      <c r="BA102" s="50"/>
      <c r="BB102" s="50"/>
      <c r="BC102" s="50"/>
      <c r="BD102" s="50"/>
      <c r="BE102" s="50"/>
      <c r="BF102" s="50"/>
      <c r="BG102" s="50"/>
      <c r="BH102" s="50"/>
      <c r="BI102" s="50"/>
      <c r="BJ102" s="50"/>
      <c r="BK102" s="50"/>
      <c r="BL102" s="50"/>
      <c r="BM102" s="50"/>
      <c r="BN102" s="50"/>
      <c r="BO102" s="50"/>
      <c r="BP102" s="50"/>
      <c r="BQ102" s="50"/>
      <c r="BR102" s="50"/>
      <c r="BS102" s="50"/>
      <c r="BT102" s="50"/>
      <c r="BU102" s="50"/>
      <c r="BV102" s="50"/>
      <c r="BW102" s="50"/>
      <c r="BX102" s="50"/>
      <c r="BY102" s="50"/>
      <c r="BZ102" s="51"/>
    </row>
    <row r="103" spans="1:78" x14ac:dyDescent="0.2">
      <c r="A103" s="48"/>
      <c r="B103" s="44"/>
      <c r="C103" s="82"/>
      <c r="D103" s="82"/>
      <c r="E103" s="61"/>
      <c r="F103" s="49"/>
      <c r="G103" s="50"/>
      <c r="H103" s="50"/>
      <c r="I103" s="50"/>
      <c r="J103" s="50"/>
      <c r="K103" s="50"/>
      <c r="L103" s="50"/>
      <c r="M103" s="50"/>
      <c r="N103" s="50"/>
      <c r="O103" s="50"/>
      <c r="P103" s="50"/>
      <c r="Q103" s="50"/>
      <c r="R103" s="50"/>
      <c r="S103" s="50"/>
      <c r="T103" s="50"/>
      <c r="U103" s="50"/>
      <c r="V103" s="50"/>
      <c r="W103" s="50"/>
      <c r="X103" s="50"/>
      <c r="Y103" s="50"/>
      <c r="Z103" s="50"/>
      <c r="AA103" s="50"/>
      <c r="AB103" s="50"/>
      <c r="AC103" s="50"/>
      <c r="AD103" s="50"/>
      <c r="AE103" s="50"/>
      <c r="AF103" s="50"/>
      <c r="AG103" s="50"/>
      <c r="AH103" s="50"/>
      <c r="AI103" s="50"/>
      <c r="AJ103" s="50"/>
      <c r="AK103" s="50"/>
      <c r="AL103" s="50"/>
      <c r="AM103" s="50"/>
      <c r="AN103" s="50"/>
      <c r="AO103" s="50"/>
      <c r="AP103" s="50"/>
      <c r="AQ103" s="50"/>
      <c r="AR103" s="50"/>
      <c r="AS103" s="50"/>
      <c r="AT103" s="50"/>
      <c r="AU103" s="50"/>
      <c r="AV103" s="50"/>
      <c r="AW103" s="50"/>
      <c r="AX103" s="50"/>
      <c r="AY103" s="50"/>
      <c r="AZ103" s="50"/>
      <c r="BA103" s="50"/>
      <c r="BB103" s="50"/>
      <c r="BC103" s="50"/>
      <c r="BD103" s="50"/>
      <c r="BE103" s="50"/>
      <c r="BF103" s="50"/>
      <c r="BG103" s="50"/>
      <c r="BH103" s="50"/>
      <c r="BI103" s="50"/>
      <c r="BJ103" s="50"/>
      <c r="BK103" s="50"/>
      <c r="BL103" s="50"/>
      <c r="BM103" s="50"/>
      <c r="BN103" s="50"/>
      <c r="BO103" s="50"/>
      <c r="BP103" s="50"/>
      <c r="BQ103" s="50"/>
      <c r="BR103" s="50"/>
      <c r="BS103" s="50"/>
      <c r="BT103" s="50"/>
      <c r="BU103" s="50"/>
      <c r="BV103" s="50"/>
      <c r="BW103" s="50"/>
      <c r="BX103" s="50"/>
      <c r="BY103" s="50"/>
      <c r="BZ103" s="51"/>
    </row>
    <row r="104" spans="1:78" x14ac:dyDescent="0.2">
      <c r="A104" s="48"/>
      <c r="B104" s="44"/>
      <c r="C104" s="82"/>
      <c r="D104" s="82"/>
      <c r="E104" s="84"/>
      <c r="F104" s="45"/>
      <c r="G104" s="46"/>
      <c r="H104" s="46"/>
      <c r="I104" s="46"/>
      <c r="J104" s="46"/>
      <c r="K104" s="46"/>
      <c r="L104" s="46"/>
      <c r="M104" s="46"/>
      <c r="N104" s="46"/>
      <c r="O104" s="46"/>
      <c r="P104" s="46"/>
      <c r="Q104" s="46"/>
      <c r="R104" s="46"/>
      <c r="S104" s="46"/>
      <c r="T104" s="46"/>
      <c r="U104" s="46"/>
      <c r="V104" s="46"/>
      <c r="W104" s="46"/>
      <c r="X104" s="46"/>
      <c r="Y104" s="46"/>
      <c r="Z104" s="46"/>
      <c r="AA104" s="46"/>
      <c r="AB104" s="46"/>
      <c r="AC104" s="46"/>
      <c r="AD104" s="46"/>
      <c r="AE104" s="46"/>
      <c r="AF104" s="46"/>
      <c r="AG104" s="46"/>
      <c r="AH104" s="46"/>
      <c r="AI104" s="46"/>
      <c r="AJ104" s="46"/>
      <c r="AK104" s="46"/>
      <c r="AL104" s="46"/>
      <c r="AM104" s="46"/>
      <c r="AN104" s="46"/>
      <c r="AO104" s="46"/>
      <c r="AP104" s="46"/>
      <c r="AQ104" s="46"/>
      <c r="AR104" s="46"/>
      <c r="AS104" s="46"/>
      <c r="AT104" s="46"/>
      <c r="AU104" s="46"/>
      <c r="AV104" s="46"/>
      <c r="AW104" s="46"/>
      <c r="AX104" s="46"/>
      <c r="AY104" s="46"/>
      <c r="AZ104" s="46"/>
      <c r="BA104" s="46"/>
      <c r="BB104" s="46"/>
      <c r="BC104" s="46"/>
      <c r="BD104" s="46"/>
      <c r="BE104" s="46"/>
      <c r="BF104" s="46"/>
      <c r="BG104" s="46"/>
      <c r="BH104" s="46"/>
      <c r="BI104" s="46"/>
      <c r="BJ104" s="46"/>
      <c r="BK104" s="46"/>
      <c r="BL104" s="46"/>
      <c r="BM104" s="46"/>
      <c r="BN104" s="46"/>
      <c r="BO104" s="46"/>
      <c r="BP104" s="46"/>
      <c r="BQ104" s="46"/>
      <c r="BR104" s="46"/>
      <c r="BS104" s="46"/>
      <c r="BT104" s="46"/>
      <c r="BU104" s="46"/>
      <c r="BV104" s="46"/>
      <c r="BW104" s="46"/>
      <c r="BX104" s="46"/>
      <c r="BY104" s="46"/>
      <c r="BZ104" s="47"/>
    </row>
    <row r="105" spans="1:78" x14ac:dyDescent="0.2">
      <c r="A105" s="52"/>
      <c r="B105" s="44"/>
      <c r="C105" s="82"/>
      <c r="D105" s="82"/>
      <c r="E105" s="61"/>
      <c r="F105" s="49"/>
      <c r="G105" s="50"/>
      <c r="H105" s="50"/>
      <c r="I105" s="50"/>
      <c r="J105" s="50"/>
      <c r="K105" s="50"/>
      <c r="L105" s="50"/>
      <c r="M105" s="50"/>
      <c r="N105" s="50"/>
      <c r="O105" s="50"/>
      <c r="P105" s="50"/>
      <c r="Q105" s="50"/>
      <c r="R105" s="50"/>
      <c r="S105" s="50"/>
      <c r="T105" s="50"/>
      <c r="U105" s="50"/>
      <c r="V105" s="50"/>
      <c r="W105" s="50"/>
      <c r="X105" s="50"/>
      <c r="Y105" s="50"/>
      <c r="Z105" s="50"/>
      <c r="AA105" s="50"/>
      <c r="AB105" s="50"/>
      <c r="AC105" s="50"/>
      <c r="AD105" s="50"/>
      <c r="AE105" s="50"/>
      <c r="AF105" s="50"/>
      <c r="AG105" s="50"/>
      <c r="AH105" s="50"/>
      <c r="AI105" s="50"/>
      <c r="AJ105" s="50"/>
      <c r="AK105" s="50"/>
      <c r="AL105" s="50"/>
      <c r="AM105" s="50"/>
      <c r="AN105" s="50"/>
      <c r="AO105" s="50"/>
      <c r="AP105" s="50"/>
      <c r="AQ105" s="50"/>
      <c r="AR105" s="50"/>
      <c r="AS105" s="50"/>
      <c r="AT105" s="50"/>
      <c r="AU105" s="50"/>
      <c r="AV105" s="50"/>
      <c r="AW105" s="50"/>
      <c r="AX105" s="50"/>
      <c r="AY105" s="50"/>
      <c r="AZ105" s="50"/>
      <c r="BA105" s="50"/>
      <c r="BB105" s="50"/>
      <c r="BC105" s="50"/>
      <c r="BD105" s="50"/>
      <c r="BE105" s="50"/>
      <c r="BF105" s="50"/>
      <c r="BG105" s="50"/>
      <c r="BH105" s="50"/>
      <c r="BI105" s="50"/>
      <c r="BJ105" s="50"/>
      <c r="BK105" s="50"/>
      <c r="BL105" s="50"/>
      <c r="BM105" s="50"/>
      <c r="BN105" s="50"/>
      <c r="BO105" s="50"/>
      <c r="BP105" s="50"/>
      <c r="BQ105" s="50"/>
      <c r="BR105" s="50"/>
      <c r="BS105" s="50"/>
      <c r="BT105" s="50"/>
      <c r="BU105" s="50"/>
      <c r="BV105" s="50"/>
      <c r="BW105" s="50"/>
      <c r="BX105" s="50"/>
      <c r="BY105" s="50"/>
      <c r="BZ105" s="51"/>
    </row>
    <row r="106" spans="1:78" x14ac:dyDescent="0.2">
      <c r="A106" s="89"/>
      <c r="B106" s="44"/>
      <c r="C106" s="82"/>
      <c r="D106" s="82"/>
      <c r="E106" s="61"/>
      <c r="F106" s="49"/>
      <c r="G106" s="50"/>
      <c r="H106" s="50"/>
      <c r="I106" s="50"/>
      <c r="J106" s="50"/>
      <c r="K106" s="50"/>
      <c r="L106" s="50"/>
      <c r="M106" s="50"/>
      <c r="N106" s="50"/>
      <c r="O106" s="50"/>
      <c r="P106" s="50"/>
      <c r="Q106" s="50"/>
      <c r="R106" s="50"/>
      <c r="S106" s="50"/>
      <c r="T106" s="50"/>
      <c r="U106" s="50"/>
      <c r="V106" s="50"/>
      <c r="W106" s="50"/>
      <c r="X106" s="50"/>
      <c r="Y106" s="50"/>
      <c r="Z106" s="50"/>
      <c r="AA106" s="50"/>
      <c r="AB106" s="50"/>
      <c r="AC106" s="50"/>
      <c r="AD106" s="50"/>
      <c r="AE106" s="50"/>
      <c r="AF106" s="50"/>
      <c r="AG106" s="50"/>
      <c r="AH106" s="50"/>
      <c r="AI106" s="50"/>
      <c r="AJ106" s="50"/>
      <c r="AK106" s="50"/>
      <c r="AL106" s="50"/>
      <c r="AM106" s="50"/>
      <c r="AN106" s="50"/>
      <c r="AO106" s="50"/>
      <c r="AP106" s="50"/>
      <c r="AQ106" s="50"/>
      <c r="AR106" s="50"/>
      <c r="AS106" s="50"/>
      <c r="AT106" s="50"/>
      <c r="AU106" s="50"/>
      <c r="AV106" s="50"/>
      <c r="AW106" s="50"/>
      <c r="AX106" s="50"/>
      <c r="AY106" s="50"/>
      <c r="AZ106" s="50"/>
      <c r="BA106" s="50"/>
      <c r="BB106" s="50"/>
      <c r="BC106" s="50"/>
      <c r="BD106" s="50"/>
      <c r="BE106" s="50"/>
      <c r="BF106" s="50"/>
      <c r="BG106" s="50"/>
      <c r="BH106" s="50"/>
      <c r="BI106" s="50"/>
      <c r="BJ106" s="50"/>
      <c r="BK106" s="50"/>
      <c r="BL106" s="50"/>
      <c r="BM106" s="50"/>
      <c r="BN106" s="50"/>
      <c r="BO106" s="50"/>
      <c r="BP106" s="50"/>
      <c r="BQ106" s="50"/>
      <c r="BR106" s="50"/>
      <c r="BS106" s="50"/>
      <c r="BT106" s="50"/>
      <c r="BU106" s="50"/>
      <c r="BV106" s="50"/>
      <c r="BW106" s="50"/>
      <c r="BX106" s="50"/>
      <c r="BY106" s="50"/>
      <c r="BZ106" s="51"/>
    </row>
    <row r="107" spans="1:78" x14ac:dyDescent="0.2">
      <c r="A107" s="63"/>
      <c r="B107" s="44"/>
      <c r="C107" s="82"/>
      <c r="D107" s="82"/>
      <c r="E107" s="61"/>
      <c r="F107" s="49"/>
      <c r="G107" s="50"/>
      <c r="H107" s="50"/>
      <c r="I107" s="50"/>
      <c r="J107" s="50"/>
      <c r="K107" s="50"/>
      <c r="L107" s="50"/>
      <c r="M107" s="50"/>
      <c r="N107" s="50"/>
      <c r="O107" s="50"/>
      <c r="P107" s="50"/>
      <c r="Q107" s="50"/>
      <c r="R107" s="50"/>
      <c r="S107" s="50"/>
      <c r="T107" s="50"/>
      <c r="U107" s="50"/>
      <c r="V107" s="50"/>
      <c r="W107" s="50"/>
      <c r="X107" s="50"/>
      <c r="Y107" s="50"/>
      <c r="Z107" s="50"/>
      <c r="AA107" s="50"/>
      <c r="AB107" s="50"/>
      <c r="AC107" s="50"/>
      <c r="AD107" s="50"/>
      <c r="AE107" s="50"/>
      <c r="AF107" s="50"/>
      <c r="AG107" s="50"/>
      <c r="AH107" s="50"/>
      <c r="AI107" s="50"/>
      <c r="AJ107" s="50"/>
      <c r="AK107" s="50"/>
      <c r="AL107" s="50"/>
      <c r="AM107" s="50"/>
      <c r="AN107" s="50"/>
      <c r="AO107" s="50"/>
      <c r="AP107" s="50"/>
      <c r="AQ107" s="50"/>
      <c r="AR107" s="50"/>
      <c r="AS107" s="50"/>
      <c r="AT107" s="50"/>
      <c r="AU107" s="50"/>
      <c r="AV107" s="50"/>
      <c r="AW107" s="50"/>
      <c r="AX107" s="50"/>
      <c r="AY107" s="50"/>
      <c r="AZ107" s="50"/>
      <c r="BA107" s="50"/>
      <c r="BB107" s="50"/>
      <c r="BC107" s="50"/>
      <c r="BD107" s="50"/>
      <c r="BE107" s="50"/>
      <c r="BF107" s="50"/>
      <c r="BG107" s="50"/>
      <c r="BH107" s="50"/>
      <c r="BI107" s="50"/>
      <c r="BJ107" s="50"/>
      <c r="BK107" s="50"/>
      <c r="BL107" s="50"/>
      <c r="BM107" s="50"/>
      <c r="BN107" s="50"/>
      <c r="BO107" s="50"/>
      <c r="BP107" s="50"/>
      <c r="BQ107" s="50"/>
      <c r="BR107" s="50"/>
      <c r="BS107" s="50"/>
      <c r="BT107" s="50"/>
      <c r="BU107" s="50"/>
      <c r="BV107" s="50"/>
      <c r="BW107" s="50"/>
      <c r="BX107" s="50"/>
      <c r="BY107" s="50"/>
      <c r="BZ107" s="51"/>
    </row>
    <row r="108" spans="1:78" x14ac:dyDescent="0.2">
      <c r="A108" s="63"/>
      <c r="B108" s="44"/>
      <c r="C108" s="82"/>
      <c r="D108" s="82"/>
      <c r="E108" s="61"/>
      <c r="F108" s="49"/>
      <c r="G108" s="50"/>
      <c r="H108" s="50"/>
      <c r="I108" s="50"/>
      <c r="J108" s="50"/>
      <c r="K108" s="50"/>
      <c r="L108" s="50"/>
      <c r="M108" s="50"/>
      <c r="N108" s="50"/>
      <c r="O108" s="50"/>
      <c r="P108" s="50"/>
      <c r="Q108" s="50"/>
      <c r="R108" s="50"/>
      <c r="S108" s="50"/>
      <c r="T108" s="50"/>
      <c r="U108" s="50"/>
      <c r="V108" s="50"/>
      <c r="W108" s="50"/>
      <c r="X108" s="50"/>
      <c r="Y108" s="50"/>
      <c r="Z108" s="50"/>
      <c r="AA108" s="50"/>
      <c r="AB108" s="50"/>
      <c r="AC108" s="50"/>
      <c r="AD108" s="50"/>
      <c r="AE108" s="50"/>
      <c r="AF108" s="50"/>
      <c r="AG108" s="50"/>
      <c r="AH108" s="50"/>
      <c r="AI108" s="50"/>
      <c r="AJ108" s="50"/>
      <c r="AK108" s="50"/>
      <c r="AL108" s="50"/>
      <c r="AM108" s="50"/>
      <c r="AN108" s="50"/>
      <c r="AO108" s="50"/>
      <c r="AP108" s="50"/>
      <c r="AQ108" s="50"/>
      <c r="AR108" s="50"/>
      <c r="AS108" s="50"/>
      <c r="AT108" s="50"/>
      <c r="AU108" s="50"/>
      <c r="AV108" s="50"/>
      <c r="AW108" s="50"/>
      <c r="AX108" s="50"/>
      <c r="AY108" s="50"/>
      <c r="AZ108" s="50"/>
      <c r="BA108" s="50"/>
      <c r="BB108" s="50"/>
      <c r="BC108" s="50"/>
      <c r="BD108" s="50"/>
      <c r="BE108" s="50"/>
      <c r="BF108" s="50"/>
      <c r="BG108" s="50"/>
      <c r="BH108" s="50"/>
      <c r="BI108" s="50"/>
      <c r="BJ108" s="50"/>
      <c r="BK108" s="50"/>
      <c r="BL108" s="50"/>
      <c r="BM108" s="50"/>
      <c r="BN108" s="50"/>
      <c r="BO108" s="50"/>
      <c r="BP108" s="50"/>
      <c r="BQ108" s="50"/>
      <c r="BR108" s="50"/>
      <c r="BS108" s="50"/>
      <c r="BT108" s="50"/>
      <c r="BU108" s="50"/>
      <c r="BV108" s="50"/>
      <c r="BW108" s="50"/>
      <c r="BX108" s="50"/>
      <c r="BY108" s="50"/>
      <c r="BZ108" s="51"/>
    </row>
    <row r="109" spans="1:78" x14ac:dyDescent="0.2">
      <c r="A109" s="63"/>
      <c r="B109" s="44"/>
      <c r="C109" s="82"/>
      <c r="D109" s="82"/>
      <c r="E109" s="61"/>
      <c r="F109" s="49"/>
      <c r="G109" s="50"/>
      <c r="H109" s="50"/>
      <c r="I109" s="50"/>
      <c r="J109" s="50"/>
      <c r="K109" s="50"/>
      <c r="L109" s="50"/>
      <c r="M109" s="50"/>
      <c r="N109" s="50"/>
      <c r="O109" s="50"/>
      <c r="P109" s="50"/>
      <c r="Q109" s="50"/>
      <c r="R109" s="50"/>
      <c r="S109" s="50"/>
      <c r="T109" s="50"/>
      <c r="U109" s="50"/>
      <c r="V109" s="50"/>
      <c r="W109" s="50"/>
      <c r="X109" s="50"/>
      <c r="Y109" s="50"/>
      <c r="Z109" s="50"/>
      <c r="AA109" s="50"/>
      <c r="AB109" s="50"/>
      <c r="AC109" s="50"/>
      <c r="AD109" s="50"/>
      <c r="AE109" s="50"/>
      <c r="AF109" s="50"/>
      <c r="AG109" s="50"/>
      <c r="AH109" s="50"/>
      <c r="AI109" s="50"/>
      <c r="AJ109" s="50"/>
      <c r="AK109" s="50"/>
      <c r="AL109" s="50"/>
      <c r="AM109" s="50"/>
      <c r="AN109" s="50"/>
      <c r="AO109" s="50"/>
      <c r="AP109" s="50"/>
      <c r="AQ109" s="50"/>
      <c r="AR109" s="50"/>
      <c r="AS109" s="50"/>
      <c r="AT109" s="50"/>
      <c r="AU109" s="50"/>
      <c r="AV109" s="50"/>
      <c r="AW109" s="50"/>
      <c r="AX109" s="50"/>
      <c r="AY109" s="50"/>
      <c r="AZ109" s="50"/>
      <c r="BA109" s="50"/>
      <c r="BB109" s="50"/>
      <c r="BC109" s="50"/>
      <c r="BD109" s="50"/>
      <c r="BE109" s="50"/>
      <c r="BF109" s="50"/>
      <c r="BG109" s="50"/>
      <c r="BH109" s="50"/>
      <c r="BI109" s="50"/>
      <c r="BJ109" s="50"/>
      <c r="BK109" s="50"/>
      <c r="BL109" s="50"/>
      <c r="BM109" s="50"/>
      <c r="BN109" s="50"/>
      <c r="BO109" s="50"/>
      <c r="BP109" s="50"/>
      <c r="BQ109" s="50"/>
      <c r="BR109" s="50"/>
      <c r="BS109" s="50"/>
      <c r="BT109" s="50"/>
      <c r="BU109" s="50"/>
      <c r="BV109" s="50"/>
      <c r="BW109" s="50"/>
      <c r="BX109" s="50"/>
      <c r="BY109" s="50"/>
      <c r="BZ109" s="51"/>
    </row>
    <row r="110" spans="1:78" x14ac:dyDescent="0.2">
      <c r="A110" s="48"/>
      <c r="B110" s="44"/>
      <c r="C110" s="82"/>
      <c r="D110" s="82"/>
      <c r="E110" s="61"/>
      <c r="F110" s="49"/>
      <c r="G110" s="50"/>
      <c r="H110" s="50"/>
      <c r="I110" s="50"/>
      <c r="J110" s="50"/>
      <c r="K110" s="50"/>
      <c r="L110" s="50"/>
      <c r="M110" s="50"/>
      <c r="N110" s="50"/>
      <c r="O110" s="50"/>
      <c r="P110" s="50"/>
      <c r="Q110" s="50"/>
      <c r="R110" s="50"/>
      <c r="S110" s="50"/>
      <c r="T110" s="50"/>
      <c r="U110" s="50"/>
      <c r="V110" s="50"/>
      <c r="W110" s="50"/>
      <c r="X110" s="50"/>
      <c r="Y110" s="50"/>
      <c r="Z110" s="50"/>
      <c r="AA110" s="50"/>
      <c r="AB110" s="50"/>
      <c r="AC110" s="50"/>
      <c r="AD110" s="50"/>
      <c r="AE110" s="50"/>
      <c r="AF110" s="50"/>
      <c r="AG110" s="50"/>
      <c r="AH110" s="50"/>
      <c r="AI110" s="50"/>
      <c r="AJ110" s="50"/>
      <c r="AK110" s="50"/>
      <c r="AL110" s="50"/>
      <c r="AM110" s="50"/>
      <c r="AN110" s="50"/>
      <c r="AO110" s="50"/>
      <c r="AP110" s="50"/>
      <c r="AQ110" s="50"/>
      <c r="AR110" s="50"/>
      <c r="AS110" s="50"/>
      <c r="AT110" s="50"/>
      <c r="AU110" s="50"/>
      <c r="AV110" s="50"/>
      <c r="AW110" s="50"/>
      <c r="AX110" s="50"/>
      <c r="AY110" s="50"/>
      <c r="AZ110" s="50"/>
      <c r="BA110" s="50"/>
      <c r="BB110" s="50"/>
      <c r="BC110" s="50"/>
      <c r="BD110" s="50"/>
      <c r="BE110" s="50"/>
      <c r="BF110" s="50"/>
      <c r="BG110" s="50"/>
      <c r="BH110" s="50"/>
      <c r="BI110" s="50"/>
      <c r="BJ110" s="50"/>
      <c r="BK110" s="50"/>
      <c r="BL110" s="50"/>
      <c r="BM110" s="50"/>
      <c r="BN110" s="50"/>
      <c r="BO110" s="50"/>
      <c r="BP110" s="50"/>
      <c r="BQ110" s="50"/>
      <c r="BR110" s="50"/>
      <c r="BS110" s="50"/>
      <c r="BT110" s="50"/>
      <c r="BU110" s="50"/>
      <c r="BV110" s="50"/>
      <c r="BW110" s="50"/>
      <c r="BX110" s="50"/>
      <c r="BY110" s="50"/>
      <c r="BZ110" s="51"/>
    </row>
    <row r="111" spans="1:78" x14ac:dyDescent="0.2">
      <c r="A111" s="48"/>
      <c r="B111" s="44"/>
      <c r="C111" s="82"/>
      <c r="D111" s="82"/>
      <c r="E111" s="61"/>
      <c r="F111" s="49"/>
      <c r="G111" s="50"/>
      <c r="H111" s="50"/>
      <c r="I111" s="50"/>
      <c r="J111" s="50"/>
      <c r="K111" s="50"/>
      <c r="L111" s="50"/>
      <c r="M111" s="50"/>
      <c r="N111" s="50"/>
      <c r="O111" s="50"/>
      <c r="P111" s="50"/>
      <c r="Q111" s="50"/>
      <c r="R111" s="50"/>
      <c r="S111" s="50"/>
      <c r="T111" s="50"/>
      <c r="U111" s="50"/>
      <c r="V111" s="50"/>
      <c r="W111" s="50"/>
      <c r="X111" s="50"/>
      <c r="Y111" s="50"/>
      <c r="Z111" s="50"/>
      <c r="AA111" s="50"/>
      <c r="AB111" s="50"/>
      <c r="AC111" s="50"/>
      <c r="AD111" s="50"/>
      <c r="AE111" s="50"/>
      <c r="AF111" s="50"/>
      <c r="AG111" s="50"/>
      <c r="AH111" s="50"/>
      <c r="AI111" s="50"/>
      <c r="AJ111" s="50"/>
      <c r="AK111" s="50"/>
      <c r="AL111" s="50"/>
      <c r="AM111" s="50"/>
      <c r="AN111" s="50"/>
      <c r="AO111" s="50"/>
      <c r="AP111" s="50"/>
      <c r="AQ111" s="50"/>
      <c r="AR111" s="50"/>
      <c r="AS111" s="50"/>
      <c r="AT111" s="50"/>
      <c r="AU111" s="50"/>
      <c r="AV111" s="50"/>
      <c r="AW111" s="50"/>
      <c r="AX111" s="50"/>
      <c r="AY111" s="50"/>
      <c r="AZ111" s="50"/>
      <c r="BA111" s="50"/>
      <c r="BB111" s="50"/>
      <c r="BC111" s="50"/>
      <c r="BD111" s="50"/>
      <c r="BE111" s="50"/>
      <c r="BF111" s="50"/>
      <c r="BG111" s="50"/>
      <c r="BH111" s="50"/>
      <c r="BI111" s="50"/>
      <c r="BJ111" s="50"/>
      <c r="BK111" s="50"/>
      <c r="BL111" s="50"/>
      <c r="BM111" s="50"/>
      <c r="BN111" s="50"/>
      <c r="BO111" s="50"/>
      <c r="BP111" s="50"/>
      <c r="BQ111" s="50"/>
      <c r="BR111" s="50"/>
      <c r="BS111" s="50"/>
      <c r="BT111" s="50"/>
      <c r="BU111" s="50"/>
      <c r="BV111" s="50"/>
      <c r="BW111" s="50"/>
      <c r="BX111" s="50"/>
      <c r="BY111" s="50"/>
      <c r="BZ111" s="51"/>
    </row>
    <row r="112" spans="1:78" x14ac:dyDescent="0.2">
      <c r="A112" s="52"/>
      <c r="B112" s="44"/>
      <c r="C112" s="82"/>
      <c r="D112" s="82"/>
      <c r="E112" s="61"/>
      <c r="F112" s="49"/>
      <c r="G112" s="50"/>
      <c r="H112" s="50"/>
      <c r="I112" s="50"/>
      <c r="J112" s="50"/>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c r="AP112" s="50"/>
      <c r="AQ112" s="50"/>
      <c r="AR112" s="50"/>
      <c r="AS112" s="50"/>
      <c r="AT112" s="50"/>
      <c r="AU112" s="50"/>
      <c r="AV112" s="50"/>
      <c r="AW112" s="50"/>
      <c r="AX112" s="50"/>
      <c r="AY112" s="50"/>
      <c r="AZ112" s="50"/>
      <c r="BA112" s="50"/>
      <c r="BB112" s="50"/>
      <c r="BC112" s="50"/>
      <c r="BD112" s="50"/>
      <c r="BE112" s="50"/>
      <c r="BF112" s="50"/>
      <c r="BG112" s="50"/>
      <c r="BH112" s="50"/>
      <c r="BI112" s="50"/>
      <c r="BJ112" s="50"/>
      <c r="BK112" s="50"/>
      <c r="BL112" s="50"/>
      <c r="BM112" s="50"/>
      <c r="BN112" s="50"/>
      <c r="BO112" s="50"/>
      <c r="BP112" s="50"/>
      <c r="BQ112" s="50"/>
      <c r="BR112" s="50"/>
      <c r="BS112" s="50"/>
      <c r="BT112" s="50"/>
      <c r="BU112" s="50"/>
      <c r="BV112" s="50"/>
      <c r="BW112" s="50"/>
      <c r="BX112" s="50"/>
      <c r="BY112" s="50"/>
      <c r="BZ112" s="51"/>
    </row>
    <row r="113" spans="1:78" x14ac:dyDescent="0.2">
      <c r="A113" s="52"/>
      <c r="B113" s="44"/>
      <c r="C113" s="82"/>
      <c r="D113" s="82"/>
      <c r="E113" s="61"/>
      <c r="F113" s="49"/>
      <c r="G113" s="50"/>
      <c r="H113" s="50"/>
      <c r="I113" s="50"/>
      <c r="J113" s="50"/>
      <c r="K113" s="50"/>
      <c r="L113" s="50"/>
      <c r="M113" s="50"/>
      <c r="N113" s="50"/>
      <c r="O113" s="50"/>
      <c r="P113" s="50"/>
      <c r="Q113" s="50"/>
      <c r="R113" s="50"/>
      <c r="S113" s="50"/>
      <c r="T113" s="50"/>
      <c r="U113" s="50"/>
      <c r="V113" s="50"/>
      <c r="W113" s="50"/>
      <c r="X113" s="50"/>
      <c r="Y113" s="50"/>
      <c r="Z113" s="50"/>
      <c r="AA113" s="50"/>
      <c r="AB113" s="50"/>
      <c r="AC113" s="50"/>
      <c r="AD113" s="50"/>
      <c r="AE113" s="50"/>
      <c r="AF113" s="50"/>
      <c r="AG113" s="50"/>
      <c r="AH113" s="50"/>
      <c r="AI113" s="50"/>
      <c r="AJ113" s="50"/>
      <c r="AK113" s="50"/>
      <c r="AL113" s="50"/>
      <c r="AM113" s="50"/>
      <c r="AN113" s="50"/>
      <c r="AO113" s="50"/>
      <c r="AP113" s="50"/>
      <c r="AQ113" s="50"/>
      <c r="AR113" s="50"/>
      <c r="AS113" s="50"/>
      <c r="AT113" s="50"/>
      <c r="AU113" s="50"/>
      <c r="AV113" s="50"/>
      <c r="AW113" s="50"/>
      <c r="AX113" s="50"/>
      <c r="AY113" s="50"/>
      <c r="AZ113" s="50"/>
      <c r="BA113" s="50"/>
      <c r="BB113" s="50"/>
      <c r="BC113" s="50"/>
      <c r="BD113" s="50"/>
      <c r="BE113" s="50"/>
      <c r="BF113" s="50"/>
      <c r="BG113" s="50"/>
      <c r="BH113" s="50"/>
      <c r="BI113" s="50"/>
      <c r="BJ113" s="50"/>
      <c r="BK113" s="50"/>
      <c r="BL113" s="50"/>
      <c r="BM113" s="50"/>
      <c r="BN113" s="50"/>
      <c r="BO113" s="50"/>
      <c r="BP113" s="50"/>
      <c r="BQ113" s="50"/>
      <c r="BR113" s="50"/>
      <c r="BS113" s="50"/>
      <c r="BT113" s="50"/>
      <c r="BU113" s="50"/>
      <c r="BV113" s="50"/>
      <c r="BW113" s="50"/>
      <c r="BX113" s="50"/>
      <c r="BY113" s="50"/>
      <c r="BZ113" s="51"/>
    </row>
    <row r="114" spans="1:78" x14ac:dyDescent="0.2">
      <c r="A114" s="52"/>
      <c r="B114" s="44"/>
      <c r="C114" s="82"/>
      <c r="D114" s="82"/>
      <c r="E114" s="61"/>
      <c r="F114" s="49"/>
      <c r="G114" s="50"/>
      <c r="H114" s="50"/>
      <c r="I114" s="50"/>
      <c r="J114" s="50"/>
      <c r="K114" s="50"/>
      <c r="L114" s="50"/>
      <c r="M114" s="50"/>
      <c r="N114" s="50"/>
      <c r="O114" s="50"/>
      <c r="P114" s="50"/>
      <c r="Q114" s="50"/>
      <c r="R114" s="50"/>
      <c r="S114" s="50"/>
      <c r="T114" s="50"/>
      <c r="U114" s="50"/>
      <c r="V114" s="50"/>
      <c r="W114" s="50"/>
      <c r="X114" s="50"/>
      <c r="Y114" s="50"/>
      <c r="Z114" s="50"/>
      <c r="AA114" s="50"/>
      <c r="AB114" s="50"/>
      <c r="AC114" s="50"/>
      <c r="AD114" s="50"/>
      <c r="AE114" s="50"/>
      <c r="AF114" s="50"/>
      <c r="AG114" s="50"/>
      <c r="AH114" s="50"/>
      <c r="AI114" s="50"/>
      <c r="AJ114" s="50"/>
      <c r="AK114" s="50"/>
      <c r="AL114" s="50"/>
      <c r="AM114" s="50"/>
      <c r="AN114" s="50"/>
      <c r="AO114" s="50"/>
      <c r="AP114" s="50"/>
      <c r="AQ114" s="50"/>
      <c r="AR114" s="50"/>
      <c r="AS114" s="50"/>
      <c r="AT114" s="50"/>
      <c r="AU114" s="50"/>
      <c r="AV114" s="50"/>
      <c r="AW114" s="50"/>
      <c r="AX114" s="50"/>
      <c r="AY114" s="50"/>
      <c r="AZ114" s="50"/>
      <c r="BA114" s="50"/>
      <c r="BB114" s="50"/>
      <c r="BC114" s="50"/>
      <c r="BD114" s="50"/>
      <c r="BE114" s="50"/>
      <c r="BF114" s="50"/>
      <c r="BG114" s="50"/>
      <c r="BH114" s="50"/>
      <c r="BI114" s="50"/>
      <c r="BJ114" s="50"/>
      <c r="BK114" s="50"/>
      <c r="BL114" s="50"/>
      <c r="BM114" s="50"/>
      <c r="BN114" s="50"/>
      <c r="BO114" s="50"/>
      <c r="BP114" s="50"/>
      <c r="BQ114" s="50"/>
      <c r="BR114" s="50"/>
      <c r="BS114" s="50"/>
      <c r="BT114" s="50"/>
      <c r="BU114" s="50"/>
      <c r="BV114" s="50"/>
      <c r="BW114" s="50"/>
      <c r="BX114" s="50"/>
      <c r="BY114" s="50"/>
      <c r="BZ114" s="51"/>
    </row>
    <row r="115" spans="1:78" x14ac:dyDescent="0.2">
      <c r="A115" s="52"/>
      <c r="B115" s="44"/>
      <c r="C115" s="82"/>
      <c r="D115" s="82"/>
      <c r="E115" s="61"/>
      <c r="F115" s="49"/>
      <c r="G115" s="50"/>
      <c r="H115" s="50"/>
      <c r="I115" s="50"/>
      <c r="J115" s="50"/>
      <c r="K115" s="50"/>
      <c r="L115" s="50"/>
      <c r="M115" s="50"/>
      <c r="N115" s="50"/>
      <c r="O115" s="50"/>
      <c r="P115" s="50"/>
      <c r="Q115" s="50"/>
      <c r="R115" s="50"/>
      <c r="S115" s="50"/>
      <c r="T115" s="50"/>
      <c r="U115" s="50"/>
      <c r="V115" s="50"/>
      <c r="W115" s="50"/>
      <c r="X115" s="50"/>
      <c r="Y115" s="50"/>
      <c r="Z115" s="50"/>
      <c r="AA115" s="50"/>
      <c r="AB115" s="50"/>
      <c r="AC115" s="50"/>
      <c r="AD115" s="50"/>
      <c r="AE115" s="50"/>
      <c r="AF115" s="50"/>
      <c r="AG115" s="50"/>
      <c r="AH115" s="50"/>
      <c r="AI115" s="50"/>
      <c r="AJ115" s="50"/>
      <c r="AK115" s="50"/>
      <c r="AL115" s="50"/>
      <c r="AM115" s="50"/>
      <c r="AN115" s="50"/>
      <c r="AO115" s="50"/>
      <c r="AP115" s="50"/>
      <c r="AQ115" s="50"/>
      <c r="AR115" s="50"/>
      <c r="AS115" s="50"/>
      <c r="AT115" s="50"/>
      <c r="AU115" s="50"/>
      <c r="AV115" s="50"/>
      <c r="AW115" s="50"/>
      <c r="AX115" s="50"/>
      <c r="AY115" s="50"/>
      <c r="AZ115" s="50"/>
      <c r="BA115" s="50"/>
      <c r="BB115" s="50"/>
      <c r="BC115" s="50"/>
      <c r="BD115" s="50"/>
      <c r="BE115" s="50"/>
      <c r="BF115" s="50"/>
      <c r="BG115" s="50"/>
      <c r="BH115" s="50"/>
      <c r="BI115" s="50"/>
      <c r="BJ115" s="50"/>
      <c r="BK115" s="50"/>
      <c r="BL115" s="50"/>
      <c r="BM115" s="50"/>
      <c r="BN115" s="50"/>
      <c r="BO115" s="50"/>
      <c r="BP115" s="50"/>
      <c r="BQ115" s="50"/>
      <c r="BR115" s="50"/>
      <c r="BS115" s="50"/>
      <c r="BT115" s="50"/>
      <c r="BU115" s="50"/>
      <c r="BV115" s="50"/>
      <c r="BW115" s="50"/>
      <c r="BX115" s="50"/>
      <c r="BY115" s="50"/>
      <c r="BZ115" s="51"/>
    </row>
    <row r="116" spans="1:78" x14ac:dyDescent="0.2">
      <c r="A116" s="52"/>
      <c r="B116" s="44"/>
      <c r="C116" s="82"/>
      <c r="D116" s="82"/>
      <c r="E116" s="61"/>
      <c r="F116" s="49"/>
      <c r="G116" s="50"/>
      <c r="H116" s="50"/>
      <c r="I116" s="50"/>
      <c r="J116" s="50"/>
      <c r="K116" s="50"/>
      <c r="L116" s="50"/>
      <c r="M116" s="50"/>
      <c r="N116" s="50"/>
      <c r="O116" s="50"/>
      <c r="P116" s="50"/>
      <c r="Q116" s="50"/>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c r="AP116" s="50"/>
      <c r="AQ116" s="50"/>
      <c r="AR116" s="50"/>
      <c r="AS116" s="50"/>
      <c r="AT116" s="50"/>
      <c r="AU116" s="50"/>
      <c r="AV116" s="50"/>
      <c r="AW116" s="50"/>
      <c r="AX116" s="50"/>
      <c r="AY116" s="50"/>
      <c r="AZ116" s="50"/>
      <c r="BA116" s="50"/>
      <c r="BB116" s="50"/>
      <c r="BC116" s="50"/>
      <c r="BD116" s="50"/>
      <c r="BE116" s="50"/>
      <c r="BF116" s="50"/>
      <c r="BG116" s="50"/>
      <c r="BH116" s="50"/>
      <c r="BI116" s="50"/>
      <c r="BJ116" s="50"/>
      <c r="BK116" s="50"/>
      <c r="BL116" s="50"/>
      <c r="BM116" s="50"/>
      <c r="BN116" s="50"/>
      <c r="BO116" s="50"/>
      <c r="BP116" s="50"/>
      <c r="BQ116" s="50"/>
      <c r="BR116" s="50"/>
      <c r="BS116" s="50"/>
      <c r="BT116" s="50"/>
      <c r="BU116" s="50"/>
      <c r="BV116" s="50"/>
      <c r="BW116" s="50"/>
      <c r="BX116" s="50"/>
      <c r="BY116" s="50"/>
      <c r="BZ116" s="51"/>
    </row>
    <row r="117" spans="1:78" x14ac:dyDescent="0.2">
      <c r="A117" s="52"/>
      <c r="B117" s="44"/>
      <c r="C117" s="82"/>
      <c r="D117" s="82"/>
      <c r="E117" s="61"/>
      <c r="F117" s="49"/>
      <c r="G117" s="50"/>
      <c r="H117" s="50"/>
      <c r="I117" s="50"/>
      <c r="J117" s="50"/>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50"/>
      <c r="AZ117" s="50"/>
      <c r="BA117" s="50"/>
      <c r="BB117" s="50"/>
      <c r="BC117" s="50"/>
      <c r="BD117" s="50"/>
      <c r="BE117" s="50"/>
      <c r="BF117" s="50"/>
      <c r="BG117" s="50"/>
      <c r="BH117" s="50"/>
      <c r="BI117" s="50"/>
      <c r="BJ117" s="50"/>
      <c r="BK117" s="50"/>
      <c r="BL117" s="50"/>
      <c r="BM117" s="50"/>
      <c r="BN117" s="50"/>
      <c r="BO117" s="50"/>
      <c r="BP117" s="50"/>
      <c r="BQ117" s="50"/>
      <c r="BR117" s="50"/>
      <c r="BS117" s="50"/>
      <c r="BT117" s="50"/>
      <c r="BU117" s="50"/>
      <c r="BV117" s="50"/>
      <c r="BW117" s="50"/>
      <c r="BX117" s="50"/>
      <c r="BY117" s="50"/>
      <c r="BZ117" s="51"/>
    </row>
    <row r="118" spans="1:78" x14ac:dyDescent="0.2">
      <c r="A118" s="52"/>
      <c r="B118" s="44"/>
      <c r="C118" s="82"/>
      <c r="D118" s="82"/>
      <c r="E118" s="61"/>
      <c r="F118" s="49"/>
      <c r="G118" s="50"/>
      <c r="H118" s="50"/>
      <c r="I118" s="50"/>
      <c r="J118" s="50"/>
      <c r="K118" s="50"/>
      <c r="L118" s="50"/>
      <c r="M118" s="50"/>
      <c r="N118" s="50"/>
      <c r="O118" s="50"/>
      <c r="P118" s="50"/>
      <c r="Q118" s="50"/>
      <c r="R118" s="50"/>
      <c r="S118" s="50"/>
      <c r="T118" s="50"/>
      <c r="U118" s="50"/>
      <c r="V118" s="50"/>
      <c r="W118" s="50"/>
      <c r="X118" s="50"/>
      <c r="Y118" s="50"/>
      <c r="Z118" s="50"/>
      <c r="AA118" s="50"/>
      <c r="AB118" s="50"/>
      <c r="AC118" s="50"/>
      <c r="AD118" s="50"/>
      <c r="AE118" s="50"/>
      <c r="AF118" s="50"/>
      <c r="AG118" s="50"/>
      <c r="AH118" s="50"/>
      <c r="AI118" s="50"/>
      <c r="AJ118" s="50"/>
      <c r="AK118" s="50"/>
      <c r="AL118" s="50"/>
      <c r="AM118" s="50"/>
      <c r="AN118" s="50"/>
      <c r="AO118" s="50"/>
      <c r="AP118" s="50"/>
      <c r="AQ118" s="50"/>
      <c r="AR118" s="50"/>
      <c r="AS118" s="50"/>
      <c r="AT118" s="50"/>
      <c r="AU118" s="50"/>
      <c r="AV118" s="50"/>
      <c r="AW118" s="50"/>
      <c r="AX118" s="50"/>
      <c r="AY118" s="50"/>
      <c r="AZ118" s="50"/>
      <c r="BA118" s="50"/>
      <c r="BB118" s="50"/>
      <c r="BC118" s="50"/>
      <c r="BD118" s="50"/>
      <c r="BE118" s="50"/>
      <c r="BF118" s="50"/>
      <c r="BG118" s="50"/>
      <c r="BH118" s="50"/>
      <c r="BI118" s="50"/>
      <c r="BJ118" s="50"/>
      <c r="BK118" s="50"/>
      <c r="BL118" s="50"/>
      <c r="BM118" s="50"/>
      <c r="BN118" s="50"/>
      <c r="BO118" s="50"/>
      <c r="BP118" s="50"/>
      <c r="BQ118" s="50"/>
      <c r="BR118" s="50"/>
      <c r="BS118" s="50"/>
      <c r="BT118" s="50"/>
      <c r="BU118" s="50"/>
      <c r="BV118" s="50"/>
      <c r="BW118" s="50"/>
      <c r="BX118" s="50"/>
      <c r="BY118" s="50"/>
      <c r="BZ118" s="51"/>
    </row>
    <row r="119" spans="1:78" x14ac:dyDescent="0.2">
      <c r="A119" s="52"/>
      <c r="B119" s="44"/>
      <c r="C119" s="82"/>
      <c r="D119" s="82"/>
      <c r="E119" s="61"/>
      <c r="F119" s="49"/>
      <c r="G119" s="50"/>
      <c r="H119" s="50"/>
      <c r="I119" s="50"/>
      <c r="J119" s="50"/>
      <c r="K119" s="50"/>
      <c r="L119" s="50"/>
      <c r="M119" s="50"/>
      <c r="N119" s="50"/>
      <c r="O119" s="50"/>
      <c r="P119" s="50"/>
      <c r="Q119" s="50"/>
      <c r="R119" s="50"/>
      <c r="S119" s="50"/>
      <c r="T119" s="50"/>
      <c r="U119" s="50"/>
      <c r="V119" s="50"/>
      <c r="W119" s="50"/>
      <c r="X119" s="50"/>
      <c r="Y119" s="50"/>
      <c r="Z119" s="50"/>
      <c r="AA119" s="50"/>
      <c r="AB119" s="50"/>
      <c r="AC119" s="50"/>
      <c r="AD119" s="50"/>
      <c r="AE119" s="50"/>
      <c r="AF119" s="50"/>
      <c r="AG119" s="50"/>
      <c r="AH119" s="50"/>
      <c r="AI119" s="50"/>
      <c r="AJ119" s="50"/>
      <c r="AK119" s="50"/>
      <c r="AL119" s="50"/>
      <c r="AM119" s="50"/>
      <c r="AN119" s="50"/>
      <c r="AO119" s="50"/>
      <c r="AP119" s="50"/>
      <c r="AQ119" s="50"/>
      <c r="AR119" s="50"/>
      <c r="AS119" s="50"/>
      <c r="AT119" s="50"/>
      <c r="AU119" s="50"/>
      <c r="AV119" s="50"/>
      <c r="AW119" s="50"/>
      <c r="AX119" s="50"/>
      <c r="AY119" s="50"/>
      <c r="AZ119" s="50"/>
      <c r="BA119" s="50"/>
      <c r="BB119" s="50"/>
      <c r="BC119" s="50"/>
      <c r="BD119" s="50"/>
      <c r="BE119" s="50"/>
      <c r="BF119" s="50"/>
      <c r="BG119" s="50"/>
      <c r="BH119" s="50"/>
      <c r="BI119" s="50"/>
      <c r="BJ119" s="50"/>
      <c r="BK119" s="50"/>
      <c r="BL119" s="50"/>
      <c r="BM119" s="50"/>
      <c r="BN119" s="50"/>
      <c r="BO119" s="50"/>
      <c r="BP119" s="50"/>
      <c r="BQ119" s="50"/>
      <c r="BR119" s="50"/>
      <c r="BS119" s="50"/>
      <c r="BT119" s="50"/>
      <c r="BU119" s="50"/>
      <c r="BV119" s="50"/>
      <c r="BW119" s="50"/>
      <c r="BX119" s="50"/>
      <c r="BY119" s="50"/>
      <c r="BZ119" s="51"/>
    </row>
    <row r="120" spans="1:78" x14ac:dyDescent="0.2">
      <c r="A120" s="52"/>
      <c r="B120" s="44"/>
      <c r="C120" s="82"/>
      <c r="D120" s="82"/>
      <c r="E120" s="61"/>
      <c r="F120" s="49"/>
      <c r="G120" s="50"/>
      <c r="H120" s="50"/>
      <c r="I120" s="50"/>
      <c r="J120" s="50"/>
      <c r="K120" s="50"/>
      <c r="L120" s="50"/>
      <c r="M120" s="50"/>
      <c r="N120" s="50"/>
      <c r="O120" s="50"/>
      <c r="P120" s="50"/>
      <c r="Q120" s="50"/>
      <c r="R120" s="50"/>
      <c r="S120" s="50"/>
      <c r="T120" s="50"/>
      <c r="U120" s="50"/>
      <c r="V120" s="50"/>
      <c r="W120" s="50"/>
      <c r="X120" s="50"/>
      <c r="Y120" s="50"/>
      <c r="Z120" s="50"/>
      <c r="AA120" s="50"/>
      <c r="AB120" s="50"/>
      <c r="AC120" s="50"/>
      <c r="AD120" s="50"/>
      <c r="AE120" s="50"/>
      <c r="AF120" s="50"/>
      <c r="AG120" s="50"/>
      <c r="AH120" s="50"/>
      <c r="AI120" s="50"/>
      <c r="AJ120" s="50"/>
      <c r="AK120" s="50"/>
      <c r="AL120" s="50"/>
      <c r="AM120" s="50"/>
      <c r="AN120" s="50"/>
      <c r="AO120" s="50"/>
      <c r="AP120" s="50"/>
      <c r="AQ120" s="50"/>
      <c r="AR120" s="50"/>
      <c r="AS120" s="50"/>
      <c r="AT120" s="50"/>
      <c r="AU120" s="50"/>
      <c r="AV120" s="50"/>
      <c r="AW120" s="50"/>
      <c r="AX120" s="50"/>
      <c r="AY120" s="50"/>
      <c r="AZ120" s="50"/>
      <c r="BA120" s="50"/>
      <c r="BB120" s="50"/>
      <c r="BC120" s="50"/>
      <c r="BD120" s="50"/>
      <c r="BE120" s="50"/>
      <c r="BF120" s="50"/>
      <c r="BG120" s="50"/>
      <c r="BH120" s="50"/>
      <c r="BI120" s="50"/>
      <c r="BJ120" s="50"/>
      <c r="BK120" s="50"/>
      <c r="BL120" s="50"/>
      <c r="BM120" s="50"/>
      <c r="BN120" s="50"/>
      <c r="BO120" s="50"/>
      <c r="BP120" s="50"/>
      <c r="BQ120" s="50"/>
      <c r="BR120" s="50"/>
      <c r="BS120" s="50"/>
      <c r="BT120" s="50"/>
      <c r="BU120" s="50"/>
      <c r="BV120" s="50"/>
      <c r="BW120" s="50"/>
      <c r="BX120" s="50"/>
      <c r="BY120" s="50"/>
      <c r="BZ120" s="51"/>
    </row>
    <row r="121" spans="1:78" x14ac:dyDescent="0.2">
      <c r="A121" s="52"/>
      <c r="B121" s="44"/>
      <c r="C121" s="82"/>
      <c r="D121" s="82"/>
      <c r="E121" s="61"/>
      <c r="F121" s="49"/>
      <c r="G121" s="50"/>
      <c r="H121" s="50"/>
      <c r="I121" s="50"/>
      <c r="J121" s="50"/>
      <c r="K121" s="50"/>
      <c r="L121" s="50"/>
      <c r="M121" s="50"/>
      <c r="N121" s="50"/>
      <c r="O121" s="50"/>
      <c r="P121" s="50"/>
      <c r="Q121" s="50"/>
      <c r="R121" s="50"/>
      <c r="S121" s="50"/>
      <c r="T121" s="50"/>
      <c r="U121" s="50"/>
      <c r="V121" s="50"/>
      <c r="W121" s="50"/>
      <c r="X121" s="50"/>
      <c r="Y121" s="50"/>
      <c r="Z121" s="50"/>
      <c r="AA121" s="50"/>
      <c r="AB121" s="50"/>
      <c r="AC121" s="50"/>
      <c r="AD121" s="50"/>
      <c r="AE121" s="50"/>
      <c r="AF121" s="50"/>
      <c r="AG121" s="50"/>
      <c r="AH121" s="50"/>
      <c r="AI121" s="50"/>
      <c r="AJ121" s="50"/>
      <c r="AK121" s="50"/>
      <c r="AL121" s="50"/>
      <c r="AM121" s="50"/>
      <c r="AN121" s="50"/>
      <c r="AO121" s="50"/>
      <c r="AP121" s="50"/>
      <c r="AQ121" s="50"/>
      <c r="AR121" s="50"/>
      <c r="AS121" s="50"/>
      <c r="AT121" s="50"/>
      <c r="AU121" s="50"/>
      <c r="AV121" s="50"/>
      <c r="AW121" s="50"/>
      <c r="AX121" s="50"/>
      <c r="AY121" s="50"/>
      <c r="AZ121" s="50"/>
      <c r="BA121" s="50"/>
      <c r="BB121" s="50"/>
      <c r="BC121" s="50"/>
      <c r="BD121" s="50"/>
      <c r="BE121" s="50"/>
      <c r="BF121" s="50"/>
      <c r="BG121" s="50"/>
      <c r="BH121" s="50"/>
      <c r="BI121" s="50"/>
      <c r="BJ121" s="50"/>
      <c r="BK121" s="50"/>
      <c r="BL121" s="50"/>
      <c r="BM121" s="50"/>
      <c r="BN121" s="50"/>
      <c r="BO121" s="50"/>
      <c r="BP121" s="50"/>
      <c r="BQ121" s="50"/>
      <c r="BR121" s="50"/>
      <c r="BS121" s="50"/>
      <c r="BT121" s="50"/>
      <c r="BU121" s="50"/>
      <c r="BV121" s="50"/>
      <c r="BW121" s="50"/>
      <c r="BX121" s="50"/>
      <c r="BY121" s="50"/>
      <c r="BZ121" s="51"/>
    </row>
    <row r="122" spans="1:78" x14ac:dyDescent="0.2">
      <c r="A122" s="52"/>
      <c r="B122" s="44"/>
      <c r="C122" s="82"/>
      <c r="D122" s="82"/>
      <c r="E122" s="61"/>
      <c r="F122" s="49"/>
      <c r="G122" s="50"/>
      <c r="H122" s="50"/>
      <c r="I122" s="50"/>
      <c r="J122" s="50"/>
      <c r="K122" s="50"/>
      <c r="L122" s="50"/>
      <c r="M122" s="50"/>
      <c r="N122" s="50"/>
      <c r="O122" s="50"/>
      <c r="P122" s="50"/>
      <c r="Q122" s="50"/>
      <c r="R122" s="50"/>
      <c r="S122" s="50"/>
      <c r="T122" s="50"/>
      <c r="U122" s="50"/>
      <c r="V122" s="50"/>
      <c r="W122" s="50"/>
      <c r="X122" s="50"/>
      <c r="Y122" s="50"/>
      <c r="Z122" s="50"/>
      <c r="AA122" s="50"/>
      <c r="AB122" s="50"/>
      <c r="AC122" s="50"/>
      <c r="AD122" s="50"/>
      <c r="AE122" s="50"/>
      <c r="AF122" s="50"/>
      <c r="AG122" s="50"/>
      <c r="AH122" s="50"/>
      <c r="AI122" s="50"/>
      <c r="AJ122" s="50"/>
      <c r="AK122" s="50"/>
      <c r="AL122" s="50"/>
      <c r="AM122" s="50"/>
      <c r="AN122" s="50"/>
      <c r="AO122" s="50"/>
      <c r="AP122" s="50"/>
      <c r="AQ122" s="50"/>
      <c r="AR122" s="50"/>
      <c r="AS122" s="50"/>
      <c r="AT122" s="50"/>
      <c r="AU122" s="50"/>
      <c r="AV122" s="50"/>
      <c r="AW122" s="50"/>
      <c r="AX122" s="50"/>
      <c r="AY122" s="50"/>
      <c r="AZ122" s="50"/>
      <c r="BA122" s="50"/>
      <c r="BB122" s="50"/>
      <c r="BC122" s="50"/>
      <c r="BD122" s="50"/>
      <c r="BE122" s="50"/>
      <c r="BF122" s="50"/>
      <c r="BG122" s="50"/>
      <c r="BH122" s="50"/>
      <c r="BI122" s="50"/>
      <c r="BJ122" s="50"/>
      <c r="BK122" s="50"/>
      <c r="BL122" s="50"/>
      <c r="BM122" s="50"/>
      <c r="BN122" s="50"/>
      <c r="BO122" s="50"/>
      <c r="BP122" s="50"/>
      <c r="BQ122" s="50"/>
      <c r="BR122" s="50"/>
      <c r="BS122" s="50"/>
      <c r="BT122" s="50"/>
      <c r="BU122" s="50"/>
      <c r="BV122" s="50"/>
      <c r="BW122" s="50"/>
      <c r="BX122" s="50"/>
      <c r="BY122" s="50"/>
      <c r="BZ122" s="51"/>
    </row>
    <row r="123" spans="1:78" x14ac:dyDescent="0.2">
      <c r="A123" s="48"/>
      <c r="B123" s="44"/>
      <c r="C123" s="82"/>
      <c r="D123" s="82"/>
      <c r="E123" s="61"/>
      <c r="F123" s="49"/>
      <c r="G123" s="50"/>
      <c r="H123" s="50"/>
      <c r="I123" s="50"/>
      <c r="J123" s="50"/>
      <c r="K123" s="50"/>
      <c r="L123" s="50"/>
      <c r="M123" s="50"/>
      <c r="N123" s="50"/>
      <c r="O123" s="50"/>
      <c r="P123" s="50"/>
      <c r="Q123" s="50"/>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50"/>
      <c r="AZ123" s="50"/>
      <c r="BA123" s="50"/>
      <c r="BB123" s="50"/>
      <c r="BC123" s="50"/>
      <c r="BD123" s="50"/>
      <c r="BE123" s="50"/>
      <c r="BF123" s="50"/>
      <c r="BG123" s="50"/>
      <c r="BH123" s="50"/>
      <c r="BI123" s="50"/>
      <c r="BJ123" s="50"/>
      <c r="BK123" s="50"/>
      <c r="BL123" s="50"/>
      <c r="BM123" s="50"/>
      <c r="BN123" s="50"/>
      <c r="BO123" s="50"/>
      <c r="BP123" s="50"/>
      <c r="BQ123" s="50"/>
      <c r="BR123" s="50"/>
      <c r="BS123" s="50"/>
      <c r="BT123" s="50"/>
      <c r="BU123" s="50"/>
      <c r="BV123" s="50"/>
      <c r="BW123" s="50"/>
      <c r="BX123" s="50"/>
      <c r="BY123" s="50"/>
      <c r="BZ123" s="51"/>
    </row>
    <row r="124" spans="1:78" x14ac:dyDescent="0.2">
      <c r="A124" s="48"/>
      <c r="B124" s="44"/>
      <c r="C124" s="82"/>
      <c r="D124" s="82"/>
      <c r="E124" s="61"/>
      <c r="F124" s="49"/>
      <c r="G124" s="50"/>
      <c r="H124" s="50"/>
      <c r="I124" s="50"/>
      <c r="J124" s="50"/>
      <c r="K124" s="50"/>
      <c r="L124" s="50"/>
      <c r="M124" s="50"/>
      <c r="N124" s="50"/>
      <c r="O124" s="50"/>
      <c r="P124" s="50"/>
      <c r="Q124" s="50"/>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c r="AP124" s="50"/>
      <c r="AQ124" s="50"/>
      <c r="AR124" s="50"/>
      <c r="AS124" s="50"/>
      <c r="AT124" s="50"/>
      <c r="AU124" s="50"/>
      <c r="AV124" s="50"/>
      <c r="AW124" s="50"/>
      <c r="AX124" s="50"/>
      <c r="AY124" s="50"/>
      <c r="AZ124" s="50"/>
      <c r="BA124" s="50"/>
      <c r="BB124" s="50"/>
      <c r="BC124" s="50"/>
      <c r="BD124" s="50"/>
      <c r="BE124" s="50"/>
      <c r="BF124" s="50"/>
      <c r="BG124" s="50"/>
      <c r="BH124" s="50"/>
      <c r="BI124" s="50"/>
      <c r="BJ124" s="50"/>
      <c r="BK124" s="50"/>
      <c r="BL124" s="50"/>
      <c r="BM124" s="50"/>
      <c r="BN124" s="50"/>
      <c r="BO124" s="50"/>
      <c r="BP124" s="50"/>
      <c r="BQ124" s="50"/>
      <c r="BR124" s="50"/>
      <c r="BS124" s="50"/>
      <c r="BT124" s="50"/>
      <c r="BU124" s="50"/>
      <c r="BV124" s="50"/>
      <c r="BW124" s="50"/>
      <c r="BX124" s="50"/>
      <c r="BY124" s="50"/>
      <c r="BZ124" s="51"/>
    </row>
    <row r="125" spans="1:78" x14ac:dyDescent="0.2">
      <c r="A125" s="48"/>
      <c r="B125" s="44"/>
      <c r="C125" s="82"/>
      <c r="D125" s="82"/>
      <c r="E125" s="61"/>
      <c r="F125" s="49"/>
      <c r="G125" s="50"/>
      <c r="H125" s="50"/>
      <c r="I125" s="50"/>
      <c r="J125" s="50"/>
      <c r="K125" s="50"/>
      <c r="L125" s="50"/>
      <c r="M125" s="50"/>
      <c r="N125" s="50"/>
      <c r="O125" s="50"/>
      <c r="P125" s="50"/>
      <c r="Q125" s="50"/>
      <c r="R125" s="50"/>
      <c r="S125" s="50"/>
      <c r="T125" s="50"/>
      <c r="U125" s="50"/>
      <c r="V125" s="50"/>
      <c r="W125" s="50"/>
      <c r="X125" s="50"/>
      <c r="Y125" s="50"/>
      <c r="Z125" s="50"/>
      <c r="AA125" s="50"/>
      <c r="AB125" s="50"/>
      <c r="AC125" s="50"/>
      <c r="AD125" s="50"/>
      <c r="AE125" s="50"/>
      <c r="AF125" s="50"/>
      <c r="AG125" s="50"/>
      <c r="AH125" s="50"/>
      <c r="AI125" s="50"/>
      <c r="AJ125" s="50"/>
      <c r="AK125" s="50"/>
      <c r="AL125" s="50"/>
      <c r="AM125" s="50"/>
      <c r="AN125" s="50"/>
      <c r="AO125" s="50"/>
      <c r="AP125" s="50"/>
      <c r="AQ125" s="50"/>
      <c r="AR125" s="50"/>
      <c r="AS125" s="50"/>
      <c r="AT125" s="50"/>
      <c r="AU125" s="50"/>
      <c r="AV125" s="50"/>
      <c r="AW125" s="50"/>
      <c r="AX125" s="50"/>
      <c r="AY125" s="50"/>
      <c r="AZ125" s="50"/>
      <c r="BA125" s="50"/>
      <c r="BB125" s="50"/>
      <c r="BC125" s="50"/>
      <c r="BD125" s="50"/>
      <c r="BE125" s="50"/>
      <c r="BF125" s="50"/>
      <c r="BG125" s="50"/>
      <c r="BH125" s="50"/>
      <c r="BI125" s="50"/>
      <c r="BJ125" s="50"/>
      <c r="BK125" s="50"/>
      <c r="BL125" s="50"/>
      <c r="BM125" s="50"/>
      <c r="BN125" s="50"/>
      <c r="BO125" s="50"/>
      <c r="BP125" s="50"/>
      <c r="BQ125" s="50"/>
      <c r="BR125" s="50"/>
      <c r="BS125" s="50"/>
      <c r="BT125" s="50"/>
      <c r="BU125" s="50"/>
      <c r="BV125" s="50"/>
      <c r="BW125" s="50"/>
      <c r="BX125" s="50"/>
      <c r="BY125" s="50"/>
      <c r="BZ125" s="51"/>
    </row>
    <row r="126" spans="1:78" x14ac:dyDescent="0.2">
      <c r="A126" s="125"/>
      <c r="B126" s="44"/>
      <c r="C126" s="82"/>
      <c r="D126" s="82"/>
      <c r="E126" s="61"/>
      <c r="F126" s="49"/>
      <c r="G126" s="50"/>
      <c r="H126" s="50"/>
      <c r="I126" s="50"/>
      <c r="J126" s="50"/>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50"/>
      <c r="AZ126" s="50"/>
      <c r="BA126" s="50"/>
      <c r="BB126" s="50"/>
      <c r="BC126" s="50"/>
      <c r="BD126" s="50"/>
      <c r="BE126" s="50"/>
      <c r="BF126" s="50"/>
      <c r="BG126" s="50"/>
      <c r="BH126" s="50"/>
      <c r="BI126" s="50"/>
      <c r="BJ126" s="50"/>
      <c r="BK126" s="50"/>
      <c r="BL126" s="50"/>
      <c r="BM126" s="50"/>
      <c r="BN126" s="50"/>
      <c r="BO126" s="50"/>
      <c r="BP126" s="50"/>
      <c r="BQ126" s="50"/>
      <c r="BR126" s="50"/>
      <c r="BS126" s="50"/>
      <c r="BT126" s="50"/>
      <c r="BU126" s="50"/>
      <c r="BV126" s="50"/>
      <c r="BW126" s="50"/>
      <c r="BX126" s="50"/>
      <c r="BY126" s="50"/>
      <c r="BZ126" s="51"/>
    </row>
    <row r="127" spans="1:78" x14ac:dyDescent="0.2">
      <c r="A127" s="48"/>
      <c r="B127" s="53"/>
      <c r="C127" s="83"/>
      <c r="D127" s="82"/>
      <c r="E127" s="61"/>
      <c r="F127" s="49"/>
      <c r="G127" s="50"/>
      <c r="H127" s="50"/>
      <c r="I127" s="50"/>
      <c r="J127" s="50"/>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50"/>
      <c r="AZ127" s="50"/>
      <c r="BA127" s="50"/>
      <c r="BB127" s="50"/>
      <c r="BC127" s="50"/>
      <c r="BD127" s="50"/>
      <c r="BE127" s="50"/>
      <c r="BF127" s="50"/>
      <c r="BG127" s="50"/>
      <c r="BH127" s="50"/>
      <c r="BI127" s="50"/>
      <c r="BJ127" s="50"/>
      <c r="BK127" s="50"/>
      <c r="BL127" s="50"/>
      <c r="BM127" s="50"/>
      <c r="BN127" s="50"/>
      <c r="BO127" s="50"/>
      <c r="BP127" s="50"/>
      <c r="BQ127" s="50"/>
      <c r="BR127" s="50"/>
      <c r="BS127" s="50"/>
      <c r="BT127" s="50"/>
      <c r="BU127" s="50"/>
      <c r="BV127" s="50"/>
      <c r="BW127" s="50"/>
      <c r="BX127" s="50"/>
      <c r="BY127" s="50"/>
      <c r="BZ127" s="51"/>
    </row>
    <row r="128" spans="1:78" x14ac:dyDescent="0.2">
      <c r="A128" s="48"/>
      <c r="B128" s="44"/>
      <c r="C128" s="82"/>
      <c r="D128" s="82"/>
      <c r="E128" s="61"/>
      <c r="F128" s="49"/>
      <c r="G128" s="50"/>
      <c r="H128" s="50"/>
      <c r="I128" s="50"/>
      <c r="J128" s="50"/>
      <c r="K128" s="50"/>
      <c r="L128" s="50"/>
      <c r="M128" s="50"/>
      <c r="N128" s="50"/>
      <c r="O128" s="50"/>
      <c r="P128" s="50"/>
      <c r="Q128" s="50"/>
      <c r="R128" s="50"/>
      <c r="S128" s="50"/>
      <c r="T128" s="50"/>
      <c r="U128" s="50"/>
      <c r="V128" s="50"/>
      <c r="W128" s="50"/>
      <c r="X128" s="50"/>
      <c r="Y128" s="50"/>
      <c r="Z128" s="50"/>
      <c r="AA128" s="50"/>
      <c r="AB128" s="50"/>
      <c r="AC128" s="50"/>
      <c r="AD128" s="50"/>
      <c r="AE128" s="50"/>
      <c r="AF128" s="50"/>
      <c r="AG128" s="50"/>
      <c r="AH128" s="50"/>
      <c r="AI128" s="50"/>
      <c r="AJ128" s="50"/>
      <c r="AK128" s="50"/>
      <c r="AL128" s="50"/>
      <c r="AM128" s="50"/>
      <c r="AN128" s="50"/>
      <c r="AO128" s="50"/>
      <c r="AP128" s="50"/>
      <c r="AQ128" s="50"/>
      <c r="AR128" s="50"/>
      <c r="AS128" s="50"/>
      <c r="AT128" s="50"/>
      <c r="AU128" s="50"/>
      <c r="AV128" s="50"/>
      <c r="AW128" s="50"/>
      <c r="AX128" s="50"/>
      <c r="AY128" s="50"/>
      <c r="AZ128" s="50"/>
      <c r="BA128" s="50"/>
      <c r="BB128" s="50"/>
      <c r="BC128" s="50"/>
      <c r="BD128" s="50"/>
      <c r="BE128" s="50"/>
      <c r="BF128" s="50"/>
      <c r="BG128" s="50"/>
      <c r="BH128" s="50"/>
      <c r="BI128" s="50"/>
      <c r="BJ128" s="50"/>
      <c r="BK128" s="50"/>
      <c r="BL128" s="50"/>
      <c r="BM128" s="50"/>
      <c r="BN128" s="50"/>
      <c r="BO128" s="50"/>
      <c r="BP128" s="50"/>
      <c r="BQ128" s="50"/>
      <c r="BR128" s="50"/>
      <c r="BS128" s="50"/>
      <c r="BT128" s="50"/>
      <c r="BU128" s="50"/>
      <c r="BV128" s="50"/>
      <c r="BW128" s="50"/>
      <c r="BX128" s="50"/>
      <c r="BY128" s="50"/>
      <c r="BZ128" s="51"/>
    </row>
    <row r="129" spans="1:78" x14ac:dyDescent="0.2">
      <c r="A129" s="48"/>
      <c r="B129" s="53"/>
      <c r="C129" s="83"/>
      <c r="D129" s="82"/>
      <c r="E129" s="61"/>
      <c r="F129" s="49"/>
      <c r="G129" s="50"/>
      <c r="H129" s="50"/>
      <c r="I129" s="50"/>
      <c r="J129" s="50"/>
      <c r="K129" s="50"/>
      <c r="L129" s="50"/>
      <c r="M129" s="50"/>
      <c r="N129" s="50"/>
      <c r="O129" s="50"/>
      <c r="P129" s="50"/>
      <c r="Q129" s="50"/>
      <c r="R129" s="50"/>
      <c r="S129" s="50"/>
      <c r="T129" s="50"/>
      <c r="U129" s="50"/>
      <c r="V129" s="50"/>
      <c r="W129" s="50"/>
      <c r="X129" s="50"/>
      <c r="Y129" s="50"/>
      <c r="Z129" s="50"/>
      <c r="AA129" s="50"/>
      <c r="AB129" s="50"/>
      <c r="AC129" s="50"/>
      <c r="AD129" s="50"/>
      <c r="AE129" s="50"/>
      <c r="AF129" s="50"/>
      <c r="AG129" s="50"/>
      <c r="AH129" s="50"/>
      <c r="AI129" s="50"/>
      <c r="AJ129" s="50"/>
      <c r="AK129" s="50"/>
      <c r="AL129" s="50"/>
      <c r="AM129" s="50"/>
      <c r="AN129" s="50"/>
      <c r="AO129" s="50"/>
      <c r="AP129" s="50"/>
      <c r="AQ129" s="50"/>
      <c r="AR129" s="50"/>
      <c r="AS129" s="50"/>
      <c r="AT129" s="50"/>
      <c r="AU129" s="50"/>
      <c r="AV129" s="50"/>
      <c r="AW129" s="50"/>
      <c r="AX129" s="50"/>
      <c r="AY129" s="50"/>
      <c r="AZ129" s="50"/>
      <c r="BA129" s="50"/>
      <c r="BB129" s="50"/>
      <c r="BC129" s="50"/>
      <c r="BD129" s="50"/>
      <c r="BE129" s="50"/>
      <c r="BF129" s="50"/>
      <c r="BG129" s="50"/>
      <c r="BH129" s="50"/>
      <c r="BI129" s="50"/>
      <c r="BJ129" s="50"/>
      <c r="BK129" s="50"/>
      <c r="BL129" s="50"/>
      <c r="BM129" s="50"/>
      <c r="BN129" s="50"/>
      <c r="BO129" s="50"/>
      <c r="BP129" s="50"/>
      <c r="BQ129" s="50"/>
      <c r="BR129" s="50"/>
      <c r="BS129" s="50"/>
      <c r="BT129" s="50"/>
      <c r="BU129" s="50"/>
      <c r="BV129" s="50"/>
      <c r="BW129" s="50"/>
      <c r="BX129" s="50"/>
      <c r="BY129" s="50"/>
      <c r="BZ129" s="51"/>
    </row>
    <row r="130" spans="1:78" x14ac:dyDescent="0.2">
      <c r="A130" s="52"/>
      <c r="B130" s="44"/>
      <c r="C130" s="82"/>
      <c r="D130" s="82"/>
      <c r="E130" s="61"/>
      <c r="F130" s="49"/>
      <c r="G130" s="50"/>
      <c r="H130" s="50"/>
      <c r="I130" s="50"/>
      <c r="J130" s="50"/>
      <c r="K130" s="50"/>
      <c r="L130" s="50"/>
      <c r="M130" s="50"/>
      <c r="N130" s="50"/>
      <c r="O130" s="50"/>
      <c r="P130" s="50"/>
      <c r="Q130" s="50"/>
      <c r="R130" s="50"/>
      <c r="S130" s="50"/>
      <c r="T130" s="50"/>
      <c r="U130" s="50"/>
      <c r="V130" s="50"/>
      <c r="W130" s="50"/>
      <c r="X130" s="50"/>
      <c r="Y130" s="50"/>
      <c r="Z130" s="50"/>
      <c r="AA130" s="50"/>
      <c r="AB130" s="50"/>
      <c r="AC130" s="50"/>
      <c r="AD130" s="50"/>
      <c r="AE130" s="50"/>
      <c r="AF130" s="50"/>
      <c r="AG130" s="50"/>
      <c r="AH130" s="50"/>
      <c r="AI130" s="50"/>
      <c r="AJ130" s="50"/>
      <c r="AK130" s="50"/>
      <c r="AL130" s="50"/>
      <c r="AM130" s="50"/>
      <c r="AN130" s="50"/>
      <c r="AO130" s="50"/>
      <c r="AP130" s="50"/>
      <c r="AQ130" s="50"/>
      <c r="AR130" s="50"/>
      <c r="AS130" s="50"/>
      <c r="AT130" s="50"/>
      <c r="AU130" s="50"/>
      <c r="AV130" s="50"/>
      <c r="AW130" s="50"/>
      <c r="AX130" s="50"/>
      <c r="AY130" s="50"/>
      <c r="AZ130" s="50"/>
      <c r="BA130" s="50"/>
      <c r="BB130" s="50"/>
      <c r="BC130" s="50"/>
      <c r="BD130" s="50"/>
      <c r="BE130" s="50"/>
      <c r="BF130" s="50"/>
      <c r="BG130" s="50"/>
      <c r="BH130" s="50"/>
      <c r="BI130" s="50"/>
      <c r="BJ130" s="50"/>
      <c r="BK130" s="50"/>
      <c r="BL130" s="50"/>
      <c r="BM130" s="50"/>
      <c r="BN130" s="50"/>
      <c r="BO130" s="50"/>
      <c r="BP130" s="50"/>
      <c r="BQ130" s="50"/>
      <c r="BR130" s="50"/>
      <c r="BS130" s="50"/>
      <c r="BT130" s="50"/>
      <c r="BU130" s="50"/>
      <c r="BV130" s="50"/>
      <c r="BW130" s="50"/>
      <c r="BX130" s="50"/>
      <c r="BY130" s="50"/>
      <c r="BZ130" s="51"/>
    </row>
    <row r="131" spans="1:78" x14ac:dyDescent="0.2">
      <c r="A131" s="48"/>
      <c r="B131" s="53"/>
      <c r="C131" s="83"/>
      <c r="D131" s="82"/>
      <c r="E131" s="61"/>
      <c r="F131" s="49"/>
      <c r="G131" s="50"/>
      <c r="H131" s="50"/>
      <c r="I131" s="50"/>
      <c r="J131" s="50"/>
      <c r="K131" s="50"/>
      <c r="L131" s="50"/>
      <c r="M131" s="50"/>
      <c r="N131" s="50"/>
      <c r="O131" s="50"/>
      <c r="P131" s="50"/>
      <c r="Q131" s="50"/>
      <c r="R131" s="50"/>
      <c r="S131" s="50"/>
      <c r="T131" s="50"/>
      <c r="U131" s="50"/>
      <c r="V131" s="50"/>
      <c r="W131" s="50"/>
      <c r="X131" s="50"/>
      <c r="Y131" s="50"/>
      <c r="Z131" s="50"/>
      <c r="AA131" s="50"/>
      <c r="AB131" s="50"/>
      <c r="AC131" s="50"/>
      <c r="AD131" s="50"/>
      <c r="AE131" s="50"/>
      <c r="AF131" s="50"/>
      <c r="AG131" s="50"/>
      <c r="AH131" s="50"/>
      <c r="AI131" s="50"/>
      <c r="AJ131" s="50"/>
      <c r="AK131" s="50"/>
      <c r="AL131" s="50"/>
      <c r="AM131" s="50"/>
      <c r="AN131" s="50"/>
      <c r="AO131" s="50"/>
      <c r="AP131" s="50"/>
      <c r="AQ131" s="50"/>
      <c r="AR131" s="50"/>
      <c r="AS131" s="50"/>
      <c r="AT131" s="50"/>
      <c r="AU131" s="50"/>
      <c r="AV131" s="50"/>
      <c r="AW131" s="50"/>
      <c r="AX131" s="50"/>
      <c r="AY131" s="50"/>
      <c r="AZ131" s="50"/>
      <c r="BA131" s="50"/>
      <c r="BB131" s="50"/>
      <c r="BC131" s="50"/>
      <c r="BD131" s="50"/>
      <c r="BE131" s="50"/>
      <c r="BF131" s="50"/>
      <c r="BG131" s="50"/>
      <c r="BH131" s="50"/>
      <c r="BI131" s="50"/>
      <c r="BJ131" s="50"/>
      <c r="BK131" s="50"/>
      <c r="BL131" s="50"/>
      <c r="BM131" s="50"/>
      <c r="BN131" s="50"/>
      <c r="BO131" s="50"/>
      <c r="BP131" s="50"/>
      <c r="BQ131" s="50"/>
      <c r="BR131" s="50"/>
      <c r="BS131" s="50"/>
      <c r="BT131" s="50"/>
      <c r="BU131" s="50"/>
      <c r="BV131" s="50"/>
      <c r="BW131" s="50"/>
      <c r="BX131" s="50"/>
      <c r="BY131" s="50"/>
      <c r="BZ131" s="51"/>
    </row>
    <row r="132" spans="1:78" x14ac:dyDescent="0.2">
      <c r="A132" s="52"/>
      <c r="B132" s="53"/>
      <c r="C132" s="83"/>
      <c r="D132" s="82"/>
      <c r="E132" s="61"/>
      <c r="F132" s="49"/>
      <c r="G132" s="50"/>
      <c r="H132" s="50"/>
      <c r="I132" s="50"/>
      <c r="J132" s="50"/>
      <c r="K132" s="50"/>
      <c r="L132" s="50"/>
      <c r="M132" s="50"/>
      <c r="N132" s="50"/>
      <c r="O132" s="50"/>
      <c r="P132" s="50"/>
      <c r="Q132" s="50"/>
      <c r="R132" s="50"/>
      <c r="S132" s="50"/>
      <c r="T132" s="50"/>
      <c r="U132" s="50"/>
      <c r="V132" s="50"/>
      <c r="W132" s="50"/>
      <c r="X132" s="50"/>
      <c r="Y132" s="50"/>
      <c r="Z132" s="50"/>
      <c r="AA132" s="50"/>
      <c r="AB132" s="50"/>
      <c r="AC132" s="50"/>
      <c r="AD132" s="50"/>
      <c r="AE132" s="50"/>
      <c r="AF132" s="50"/>
      <c r="AG132" s="50"/>
      <c r="AH132" s="50"/>
      <c r="AI132" s="50"/>
      <c r="AJ132" s="50"/>
      <c r="AK132" s="50"/>
      <c r="AL132" s="50"/>
      <c r="AM132" s="50"/>
      <c r="AN132" s="50"/>
      <c r="AO132" s="50"/>
      <c r="AP132" s="50"/>
      <c r="AQ132" s="50"/>
      <c r="AR132" s="50"/>
      <c r="AS132" s="50"/>
      <c r="AT132" s="50"/>
      <c r="AU132" s="50"/>
      <c r="AV132" s="50"/>
      <c r="AW132" s="50"/>
      <c r="AX132" s="50"/>
      <c r="AY132" s="50"/>
      <c r="AZ132" s="50"/>
      <c r="BA132" s="50"/>
      <c r="BB132" s="50"/>
      <c r="BC132" s="50"/>
      <c r="BD132" s="50"/>
      <c r="BE132" s="50"/>
      <c r="BF132" s="50"/>
      <c r="BG132" s="50"/>
      <c r="BH132" s="50"/>
      <c r="BI132" s="50"/>
      <c r="BJ132" s="50"/>
      <c r="BK132" s="50"/>
      <c r="BL132" s="50"/>
      <c r="BM132" s="50"/>
      <c r="BN132" s="50"/>
      <c r="BO132" s="50"/>
      <c r="BP132" s="50"/>
      <c r="BQ132" s="50"/>
      <c r="BR132" s="50"/>
      <c r="BS132" s="50"/>
      <c r="BT132" s="50"/>
      <c r="BU132" s="50"/>
      <c r="BV132" s="50"/>
      <c r="BW132" s="50"/>
      <c r="BX132" s="50"/>
      <c r="BY132" s="50"/>
      <c r="BZ132" s="51"/>
    </row>
    <row r="133" spans="1:78" x14ac:dyDescent="0.2">
      <c r="A133" s="52"/>
      <c r="B133" s="44"/>
      <c r="C133" s="82"/>
      <c r="D133" s="82"/>
      <c r="E133" s="61"/>
      <c r="F133" s="49"/>
      <c r="G133" s="50"/>
      <c r="H133" s="50"/>
      <c r="I133" s="50"/>
      <c r="J133" s="50"/>
      <c r="K133" s="50"/>
      <c r="L133" s="50"/>
      <c r="M133" s="50"/>
      <c r="N133" s="50"/>
      <c r="O133" s="50"/>
      <c r="P133" s="50"/>
      <c r="Q133" s="50"/>
      <c r="R133" s="50"/>
      <c r="S133" s="50"/>
      <c r="T133" s="50"/>
      <c r="U133" s="50"/>
      <c r="V133" s="50"/>
      <c r="W133" s="50"/>
      <c r="X133" s="50"/>
      <c r="Y133" s="50"/>
      <c r="Z133" s="50"/>
      <c r="AA133" s="50"/>
      <c r="AB133" s="50"/>
      <c r="AC133" s="50"/>
      <c r="AD133" s="50"/>
      <c r="AE133" s="50"/>
      <c r="AF133" s="50"/>
      <c r="AG133" s="50"/>
      <c r="AH133" s="50"/>
      <c r="AI133" s="50"/>
      <c r="AJ133" s="50"/>
      <c r="AK133" s="50"/>
      <c r="AL133" s="50"/>
      <c r="AM133" s="50"/>
      <c r="AN133" s="50"/>
      <c r="AO133" s="50"/>
      <c r="AP133" s="50"/>
      <c r="AQ133" s="50"/>
      <c r="AR133" s="50"/>
      <c r="AS133" s="50"/>
      <c r="AT133" s="50"/>
      <c r="AU133" s="50"/>
      <c r="AV133" s="50"/>
      <c r="AW133" s="50"/>
      <c r="AX133" s="50"/>
      <c r="AY133" s="50"/>
      <c r="AZ133" s="50"/>
      <c r="BA133" s="50"/>
      <c r="BB133" s="50"/>
      <c r="BC133" s="50"/>
      <c r="BD133" s="50"/>
      <c r="BE133" s="50"/>
      <c r="BF133" s="50"/>
      <c r="BG133" s="50"/>
      <c r="BH133" s="50"/>
      <c r="BI133" s="50"/>
      <c r="BJ133" s="50"/>
      <c r="BK133" s="50"/>
      <c r="BL133" s="50"/>
      <c r="BM133" s="50"/>
      <c r="BN133" s="50"/>
      <c r="BO133" s="50"/>
      <c r="BP133" s="50"/>
      <c r="BQ133" s="50"/>
      <c r="BR133" s="50"/>
      <c r="BS133" s="50"/>
      <c r="BT133" s="50"/>
      <c r="BU133" s="50"/>
      <c r="BV133" s="50"/>
      <c r="BW133" s="50"/>
      <c r="BX133" s="50"/>
      <c r="BY133" s="50"/>
      <c r="BZ133" s="51"/>
    </row>
    <row r="134" spans="1:78" x14ac:dyDescent="0.2">
      <c r="A134" s="52"/>
      <c r="B134" s="44"/>
      <c r="C134" s="82"/>
      <c r="D134" s="82"/>
      <c r="E134" s="61"/>
      <c r="F134" s="49"/>
      <c r="G134" s="50"/>
      <c r="H134" s="50"/>
      <c r="I134" s="50"/>
      <c r="J134" s="50"/>
      <c r="K134" s="50"/>
      <c r="L134" s="50"/>
      <c r="M134" s="50"/>
      <c r="N134" s="50"/>
      <c r="O134" s="50"/>
      <c r="P134" s="50"/>
      <c r="Q134" s="50"/>
      <c r="R134" s="50"/>
      <c r="S134" s="50"/>
      <c r="T134" s="50"/>
      <c r="U134" s="50"/>
      <c r="V134" s="50"/>
      <c r="W134" s="50"/>
      <c r="X134" s="50"/>
      <c r="Y134" s="50"/>
      <c r="Z134" s="50"/>
      <c r="AA134" s="50"/>
      <c r="AB134" s="50"/>
      <c r="AC134" s="50"/>
      <c r="AD134" s="50"/>
      <c r="AE134" s="50"/>
      <c r="AF134" s="50"/>
      <c r="AG134" s="50"/>
      <c r="AH134" s="50"/>
      <c r="AI134" s="50"/>
      <c r="AJ134" s="50"/>
      <c r="AK134" s="50"/>
      <c r="AL134" s="50"/>
      <c r="AM134" s="50"/>
      <c r="AN134" s="50"/>
      <c r="AO134" s="50"/>
      <c r="AP134" s="50"/>
      <c r="AQ134" s="50"/>
      <c r="AR134" s="50"/>
      <c r="AS134" s="50"/>
      <c r="AT134" s="50"/>
      <c r="AU134" s="50"/>
      <c r="AV134" s="50"/>
      <c r="AW134" s="50"/>
      <c r="AX134" s="50"/>
      <c r="AY134" s="50"/>
      <c r="AZ134" s="50"/>
      <c r="BA134" s="50"/>
      <c r="BB134" s="50"/>
      <c r="BC134" s="50"/>
      <c r="BD134" s="50"/>
      <c r="BE134" s="50"/>
      <c r="BF134" s="50"/>
      <c r="BG134" s="50"/>
      <c r="BH134" s="50"/>
      <c r="BI134" s="50"/>
      <c r="BJ134" s="50"/>
      <c r="BK134" s="50"/>
      <c r="BL134" s="50"/>
      <c r="BM134" s="50"/>
      <c r="BN134" s="50"/>
      <c r="BO134" s="50"/>
      <c r="BP134" s="50"/>
      <c r="BQ134" s="50"/>
      <c r="BR134" s="50"/>
      <c r="BS134" s="50"/>
      <c r="BT134" s="50"/>
      <c r="BU134" s="50"/>
      <c r="BV134" s="50"/>
      <c r="BW134" s="50"/>
      <c r="BX134" s="50"/>
      <c r="BY134" s="50"/>
      <c r="BZ134" s="51"/>
    </row>
    <row r="135" spans="1:78" x14ac:dyDescent="0.2">
      <c r="A135" s="48"/>
      <c r="B135" s="44"/>
      <c r="C135" s="82"/>
      <c r="D135" s="82"/>
      <c r="E135" s="61"/>
      <c r="F135" s="49"/>
      <c r="G135" s="50"/>
      <c r="H135" s="50"/>
      <c r="I135" s="50"/>
      <c r="J135" s="50"/>
      <c r="K135" s="50"/>
      <c r="L135" s="50"/>
      <c r="M135" s="50"/>
      <c r="N135" s="50"/>
      <c r="O135" s="50"/>
      <c r="P135" s="50"/>
      <c r="Q135" s="50"/>
      <c r="R135" s="50"/>
      <c r="S135" s="50"/>
      <c r="T135" s="50"/>
      <c r="U135" s="50"/>
      <c r="V135" s="50"/>
      <c r="W135" s="50"/>
      <c r="X135" s="50"/>
      <c r="Y135" s="50"/>
      <c r="Z135" s="50"/>
      <c r="AA135" s="50"/>
      <c r="AB135" s="50"/>
      <c r="AC135" s="50"/>
      <c r="AD135" s="50"/>
      <c r="AE135" s="50"/>
      <c r="AF135" s="50"/>
      <c r="AG135" s="50"/>
      <c r="AH135" s="50"/>
      <c r="AI135" s="50"/>
      <c r="AJ135" s="50"/>
      <c r="AK135" s="50"/>
      <c r="AL135" s="50"/>
      <c r="AM135" s="50"/>
      <c r="AN135" s="50"/>
      <c r="AO135" s="50"/>
      <c r="AP135" s="50"/>
      <c r="AQ135" s="50"/>
      <c r="AR135" s="50"/>
      <c r="AS135" s="50"/>
      <c r="AT135" s="50"/>
      <c r="AU135" s="50"/>
      <c r="AV135" s="50"/>
      <c r="AW135" s="50"/>
      <c r="AX135" s="50"/>
      <c r="AY135" s="50"/>
      <c r="AZ135" s="50"/>
      <c r="BA135" s="50"/>
      <c r="BB135" s="50"/>
      <c r="BC135" s="50"/>
      <c r="BD135" s="50"/>
      <c r="BE135" s="50"/>
      <c r="BF135" s="50"/>
      <c r="BG135" s="50"/>
      <c r="BH135" s="50"/>
      <c r="BI135" s="50"/>
      <c r="BJ135" s="50"/>
      <c r="BK135" s="50"/>
      <c r="BL135" s="50"/>
      <c r="BM135" s="50"/>
      <c r="BN135" s="50"/>
      <c r="BO135" s="50"/>
      <c r="BP135" s="50"/>
      <c r="BQ135" s="50"/>
      <c r="BR135" s="50"/>
      <c r="BS135" s="50"/>
      <c r="BT135" s="50"/>
      <c r="BU135" s="50"/>
      <c r="BV135" s="50"/>
      <c r="BW135" s="50"/>
      <c r="BX135" s="50"/>
      <c r="BY135" s="50"/>
      <c r="BZ135" s="51"/>
    </row>
    <row r="136" spans="1:78" x14ac:dyDescent="0.2">
      <c r="A136" s="48"/>
      <c r="B136" s="44"/>
      <c r="C136" s="82"/>
      <c r="D136" s="82"/>
      <c r="E136" s="61"/>
      <c r="F136" s="73"/>
      <c r="G136" s="74"/>
      <c r="H136" s="74"/>
      <c r="I136" s="74"/>
      <c r="J136" s="74"/>
      <c r="K136" s="74"/>
      <c r="L136" s="74"/>
      <c r="M136" s="74"/>
      <c r="N136" s="74"/>
      <c r="O136" s="74"/>
      <c r="P136" s="74"/>
      <c r="Q136" s="74"/>
      <c r="R136" s="74"/>
      <c r="S136" s="74"/>
      <c r="T136" s="74"/>
      <c r="U136" s="74"/>
      <c r="V136" s="74"/>
      <c r="W136" s="74"/>
      <c r="X136" s="74"/>
      <c r="Y136" s="74"/>
      <c r="Z136" s="74"/>
      <c r="AA136" s="74"/>
      <c r="AB136" s="74"/>
      <c r="AC136" s="74"/>
      <c r="AD136" s="74"/>
      <c r="AE136" s="74"/>
      <c r="AF136" s="74"/>
      <c r="AG136" s="74"/>
      <c r="AH136" s="74"/>
      <c r="AI136" s="74"/>
      <c r="AJ136" s="74"/>
      <c r="AK136" s="74"/>
      <c r="AL136" s="74"/>
      <c r="AM136" s="74"/>
      <c r="AN136" s="74"/>
      <c r="AO136" s="74"/>
      <c r="AP136" s="74"/>
      <c r="AQ136" s="74"/>
      <c r="AR136" s="74"/>
      <c r="AS136" s="74"/>
      <c r="AT136" s="74"/>
      <c r="AU136" s="74"/>
      <c r="AV136" s="74"/>
      <c r="AW136" s="74"/>
      <c r="AX136" s="74"/>
      <c r="AY136" s="74"/>
      <c r="AZ136" s="74"/>
      <c r="BA136" s="74"/>
      <c r="BB136" s="74"/>
      <c r="BC136" s="74"/>
      <c r="BD136" s="74"/>
      <c r="BE136" s="74"/>
      <c r="BF136" s="74"/>
      <c r="BG136" s="74"/>
      <c r="BH136" s="74"/>
      <c r="BI136" s="74"/>
      <c r="BJ136" s="74"/>
      <c r="BK136" s="74"/>
      <c r="BL136" s="74"/>
      <c r="BM136" s="74"/>
      <c r="BN136" s="74"/>
      <c r="BO136" s="74"/>
      <c r="BP136" s="74"/>
      <c r="BQ136" s="74"/>
      <c r="BR136" s="74"/>
      <c r="BS136" s="74"/>
      <c r="BT136" s="74"/>
      <c r="BU136" s="74"/>
      <c r="BV136" s="74"/>
      <c r="BW136" s="74"/>
      <c r="BX136" s="74"/>
      <c r="BY136" s="74"/>
      <c r="BZ136" s="75"/>
    </row>
    <row r="137" spans="1:78" x14ac:dyDescent="0.2">
      <c r="A137" s="48"/>
      <c r="B137" s="44"/>
      <c r="C137" s="82"/>
      <c r="D137" s="82"/>
      <c r="E137" s="61"/>
      <c r="F137" s="73"/>
      <c r="G137" s="74"/>
      <c r="H137" s="74"/>
      <c r="I137" s="74"/>
      <c r="J137" s="74"/>
      <c r="K137" s="74"/>
      <c r="L137" s="74"/>
      <c r="M137" s="74"/>
      <c r="N137" s="74"/>
      <c r="O137" s="74"/>
      <c r="P137" s="74"/>
      <c r="Q137" s="74"/>
      <c r="R137" s="74"/>
      <c r="S137" s="74"/>
      <c r="T137" s="74"/>
      <c r="U137" s="74"/>
      <c r="V137" s="74"/>
      <c r="W137" s="74"/>
      <c r="X137" s="74"/>
      <c r="Y137" s="74"/>
      <c r="Z137" s="74"/>
      <c r="AA137" s="74"/>
      <c r="AB137" s="74"/>
      <c r="AC137" s="74"/>
      <c r="AD137" s="74"/>
      <c r="AE137" s="74"/>
      <c r="AF137" s="74"/>
      <c r="AG137" s="74"/>
      <c r="AH137" s="74"/>
      <c r="AI137" s="74"/>
      <c r="AJ137" s="74"/>
      <c r="AK137" s="74"/>
      <c r="AL137" s="74"/>
      <c r="AM137" s="74"/>
      <c r="AN137" s="74"/>
      <c r="AO137" s="74"/>
      <c r="AP137" s="74"/>
      <c r="AQ137" s="74"/>
      <c r="AR137" s="74"/>
      <c r="AS137" s="74"/>
      <c r="AT137" s="74"/>
      <c r="AU137" s="74"/>
      <c r="AV137" s="74"/>
      <c r="AW137" s="74"/>
      <c r="AX137" s="74"/>
      <c r="AY137" s="74"/>
      <c r="AZ137" s="74"/>
      <c r="BA137" s="74"/>
      <c r="BB137" s="74"/>
      <c r="BC137" s="74"/>
      <c r="BD137" s="74"/>
      <c r="BE137" s="74"/>
      <c r="BF137" s="74"/>
      <c r="BG137" s="74"/>
      <c r="BH137" s="74"/>
      <c r="BI137" s="74"/>
      <c r="BJ137" s="74"/>
      <c r="BK137" s="74"/>
      <c r="BL137" s="74"/>
      <c r="BM137" s="74"/>
      <c r="BN137" s="74"/>
      <c r="BO137" s="74"/>
      <c r="BP137" s="74"/>
      <c r="BQ137" s="74"/>
      <c r="BR137" s="74"/>
      <c r="BS137" s="74"/>
      <c r="BT137" s="74"/>
      <c r="BU137" s="74"/>
      <c r="BV137" s="74"/>
      <c r="BW137" s="74"/>
      <c r="BX137" s="74"/>
      <c r="BY137" s="74"/>
      <c r="BZ137" s="75"/>
    </row>
    <row r="138" spans="1:78" x14ac:dyDescent="0.2">
      <c r="A138" s="48"/>
      <c r="B138" s="44"/>
      <c r="C138" s="82"/>
      <c r="D138" s="82"/>
      <c r="E138" s="61"/>
      <c r="F138" s="73"/>
      <c r="G138" s="74"/>
      <c r="H138" s="74"/>
      <c r="I138" s="74"/>
      <c r="J138" s="74"/>
      <c r="K138" s="74"/>
      <c r="L138" s="74"/>
      <c r="M138" s="74"/>
      <c r="N138" s="74"/>
      <c r="O138" s="74"/>
      <c r="P138" s="74"/>
      <c r="Q138" s="74"/>
      <c r="R138" s="74"/>
      <c r="S138" s="74"/>
      <c r="T138" s="74"/>
      <c r="U138" s="74"/>
      <c r="V138" s="74"/>
      <c r="W138" s="74"/>
      <c r="X138" s="74"/>
      <c r="Y138" s="74"/>
      <c r="Z138" s="74"/>
      <c r="AA138" s="74"/>
      <c r="AB138" s="74"/>
      <c r="AC138" s="74"/>
      <c r="AD138" s="74"/>
      <c r="AE138" s="74"/>
      <c r="AF138" s="74"/>
      <c r="AG138" s="74"/>
      <c r="AH138" s="74"/>
      <c r="AI138" s="74"/>
      <c r="AJ138" s="74"/>
      <c r="AK138" s="74"/>
      <c r="AL138" s="74"/>
      <c r="AM138" s="74"/>
      <c r="AN138" s="74"/>
      <c r="AO138" s="74"/>
      <c r="AP138" s="74"/>
      <c r="AQ138" s="74"/>
      <c r="AR138" s="74"/>
      <c r="AS138" s="74"/>
      <c r="AT138" s="74"/>
      <c r="AU138" s="74"/>
      <c r="AV138" s="74"/>
      <c r="AW138" s="74"/>
      <c r="AX138" s="74"/>
      <c r="AY138" s="74"/>
      <c r="AZ138" s="74"/>
      <c r="BA138" s="74"/>
      <c r="BB138" s="74"/>
      <c r="BC138" s="74"/>
      <c r="BD138" s="74"/>
      <c r="BE138" s="74"/>
      <c r="BF138" s="74"/>
      <c r="BG138" s="74"/>
      <c r="BH138" s="74"/>
      <c r="BI138" s="74"/>
      <c r="BJ138" s="74"/>
      <c r="BK138" s="74"/>
      <c r="BL138" s="74"/>
      <c r="BM138" s="74"/>
      <c r="BN138" s="74"/>
      <c r="BO138" s="74"/>
      <c r="BP138" s="74"/>
      <c r="BQ138" s="74"/>
      <c r="BR138" s="74"/>
      <c r="BS138" s="74"/>
      <c r="BT138" s="74"/>
      <c r="BU138" s="74"/>
      <c r="BV138" s="74"/>
      <c r="BW138" s="74"/>
      <c r="BX138" s="74"/>
      <c r="BY138" s="74"/>
      <c r="BZ138" s="75"/>
    </row>
    <row r="139" spans="1:78" x14ac:dyDescent="0.2">
      <c r="A139" s="48"/>
      <c r="B139" s="44"/>
      <c r="C139" s="82"/>
      <c r="D139" s="82"/>
      <c r="E139" s="61"/>
      <c r="F139" s="73"/>
      <c r="G139" s="74"/>
      <c r="H139" s="74"/>
      <c r="I139" s="74"/>
      <c r="J139" s="74"/>
      <c r="K139" s="74"/>
      <c r="L139" s="74"/>
      <c r="M139" s="74"/>
      <c r="N139" s="74"/>
      <c r="O139" s="74"/>
      <c r="P139" s="74"/>
      <c r="Q139" s="74"/>
      <c r="R139" s="74"/>
      <c r="S139" s="74"/>
      <c r="T139" s="74"/>
      <c r="U139" s="74"/>
      <c r="V139" s="74"/>
      <c r="W139" s="74"/>
      <c r="X139" s="74"/>
      <c r="Y139" s="74"/>
      <c r="Z139" s="74"/>
      <c r="AA139" s="74"/>
      <c r="AB139" s="74"/>
      <c r="AC139" s="74"/>
      <c r="AD139" s="74"/>
      <c r="AE139" s="74"/>
      <c r="AF139" s="74"/>
      <c r="AG139" s="74"/>
      <c r="AH139" s="74"/>
      <c r="AI139" s="74"/>
      <c r="AJ139" s="74"/>
      <c r="AK139" s="74"/>
      <c r="AL139" s="74"/>
      <c r="AM139" s="74"/>
      <c r="AN139" s="74"/>
      <c r="AO139" s="74"/>
      <c r="AP139" s="74"/>
      <c r="AQ139" s="74"/>
      <c r="AR139" s="74"/>
      <c r="AS139" s="74"/>
      <c r="AT139" s="74"/>
      <c r="AU139" s="74"/>
      <c r="AV139" s="74"/>
      <c r="AW139" s="74"/>
      <c r="AX139" s="74"/>
      <c r="AY139" s="74"/>
      <c r="AZ139" s="74"/>
      <c r="BA139" s="74"/>
      <c r="BB139" s="74"/>
      <c r="BC139" s="74"/>
      <c r="BD139" s="74"/>
      <c r="BE139" s="74"/>
      <c r="BF139" s="74"/>
      <c r="BG139" s="74"/>
      <c r="BH139" s="74"/>
      <c r="BI139" s="74"/>
      <c r="BJ139" s="74"/>
      <c r="BK139" s="74"/>
      <c r="BL139" s="74"/>
      <c r="BM139" s="74"/>
      <c r="BN139" s="74"/>
      <c r="BO139" s="74"/>
      <c r="BP139" s="74"/>
      <c r="BQ139" s="74"/>
      <c r="BR139" s="74"/>
      <c r="BS139" s="74"/>
      <c r="BT139" s="74"/>
      <c r="BU139" s="74"/>
      <c r="BV139" s="74"/>
      <c r="BW139" s="74"/>
      <c r="BX139" s="74"/>
      <c r="BY139" s="74"/>
      <c r="BZ139" s="75"/>
    </row>
    <row r="140" spans="1:78" x14ac:dyDescent="0.2">
      <c r="A140" s="48"/>
      <c r="B140" s="44"/>
      <c r="C140" s="82"/>
      <c r="D140" s="82"/>
      <c r="E140" s="61"/>
      <c r="F140" s="73"/>
      <c r="G140" s="74"/>
      <c r="H140" s="74"/>
      <c r="I140" s="74"/>
      <c r="J140" s="74"/>
      <c r="K140" s="74"/>
      <c r="L140" s="74"/>
      <c r="M140" s="74"/>
      <c r="N140" s="74"/>
      <c r="O140" s="74"/>
      <c r="P140" s="74"/>
      <c r="Q140" s="74"/>
      <c r="R140" s="74"/>
      <c r="S140" s="74"/>
      <c r="T140" s="74"/>
      <c r="U140" s="74"/>
      <c r="V140" s="74"/>
      <c r="W140" s="74"/>
      <c r="X140" s="74"/>
      <c r="Y140" s="74"/>
      <c r="Z140" s="74"/>
      <c r="AA140" s="74"/>
      <c r="AB140" s="74"/>
      <c r="AC140" s="74"/>
      <c r="AD140" s="74"/>
      <c r="AE140" s="74"/>
      <c r="AF140" s="74"/>
      <c r="AG140" s="74"/>
      <c r="AH140" s="74"/>
      <c r="AI140" s="74"/>
      <c r="AJ140" s="74"/>
      <c r="AK140" s="74"/>
      <c r="AL140" s="74"/>
      <c r="AM140" s="74"/>
      <c r="AN140" s="74"/>
      <c r="AO140" s="74"/>
      <c r="AP140" s="74"/>
      <c r="AQ140" s="74"/>
      <c r="AR140" s="74"/>
      <c r="AS140" s="74"/>
      <c r="AT140" s="74"/>
      <c r="AU140" s="74"/>
      <c r="AV140" s="74"/>
      <c r="AW140" s="74"/>
      <c r="AX140" s="74"/>
      <c r="AY140" s="74"/>
      <c r="AZ140" s="74"/>
      <c r="BA140" s="74"/>
      <c r="BB140" s="74"/>
      <c r="BC140" s="74"/>
      <c r="BD140" s="74"/>
      <c r="BE140" s="74"/>
      <c r="BF140" s="74"/>
      <c r="BG140" s="74"/>
      <c r="BH140" s="74"/>
      <c r="BI140" s="74"/>
      <c r="BJ140" s="74"/>
      <c r="BK140" s="74"/>
      <c r="BL140" s="74"/>
      <c r="BM140" s="74"/>
      <c r="BN140" s="74"/>
      <c r="BO140" s="74"/>
      <c r="BP140" s="74"/>
      <c r="BQ140" s="74"/>
      <c r="BR140" s="74"/>
      <c r="BS140" s="74"/>
      <c r="BT140" s="74"/>
      <c r="BU140" s="74"/>
      <c r="BV140" s="74"/>
      <c r="BW140" s="74"/>
      <c r="BX140" s="74"/>
      <c r="BY140" s="74"/>
      <c r="BZ140" s="75"/>
    </row>
    <row r="141" spans="1:78" x14ac:dyDescent="0.2">
      <c r="A141" s="48"/>
      <c r="B141" s="44"/>
      <c r="C141" s="82"/>
      <c r="D141" s="82"/>
      <c r="E141" s="61"/>
      <c r="F141" s="73"/>
      <c r="G141" s="74"/>
      <c r="H141" s="74"/>
      <c r="I141" s="74"/>
      <c r="J141" s="74"/>
      <c r="K141" s="74"/>
      <c r="L141" s="74"/>
      <c r="M141" s="74"/>
      <c r="N141" s="74"/>
      <c r="O141" s="74"/>
      <c r="P141" s="74"/>
      <c r="Q141" s="74"/>
      <c r="R141" s="74"/>
      <c r="S141" s="74"/>
      <c r="T141" s="74"/>
      <c r="U141" s="74"/>
      <c r="V141" s="74"/>
      <c r="W141" s="74"/>
      <c r="X141" s="74"/>
      <c r="Y141" s="74"/>
      <c r="Z141" s="74"/>
      <c r="AA141" s="74"/>
      <c r="AB141" s="74"/>
      <c r="AC141" s="74"/>
      <c r="AD141" s="74"/>
      <c r="AE141" s="74"/>
      <c r="AF141" s="74"/>
      <c r="AG141" s="74"/>
      <c r="AH141" s="74"/>
      <c r="AI141" s="74"/>
      <c r="AJ141" s="74"/>
      <c r="AK141" s="74"/>
      <c r="AL141" s="74"/>
      <c r="AM141" s="74"/>
      <c r="AN141" s="74"/>
      <c r="AO141" s="74"/>
      <c r="AP141" s="74"/>
      <c r="AQ141" s="74"/>
      <c r="AR141" s="74"/>
      <c r="AS141" s="74"/>
      <c r="AT141" s="74"/>
      <c r="AU141" s="74"/>
      <c r="AV141" s="74"/>
      <c r="AW141" s="74"/>
      <c r="AX141" s="74"/>
      <c r="AY141" s="74"/>
      <c r="AZ141" s="74"/>
      <c r="BA141" s="74"/>
      <c r="BB141" s="74"/>
      <c r="BC141" s="74"/>
      <c r="BD141" s="74"/>
      <c r="BE141" s="74"/>
      <c r="BF141" s="74"/>
      <c r="BG141" s="74"/>
      <c r="BH141" s="74"/>
      <c r="BI141" s="74"/>
      <c r="BJ141" s="74"/>
      <c r="BK141" s="74"/>
      <c r="BL141" s="74"/>
      <c r="BM141" s="74"/>
      <c r="BN141" s="74"/>
      <c r="BO141" s="74"/>
      <c r="BP141" s="74"/>
      <c r="BQ141" s="74"/>
      <c r="BR141" s="74"/>
      <c r="BS141" s="74"/>
      <c r="BT141" s="74"/>
      <c r="BU141" s="74"/>
      <c r="BV141" s="74"/>
      <c r="BW141" s="74"/>
      <c r="BX141" s="74"/>
      <c r="BY141" s="74"/>
      <c r="BZ141" s="75"/>
    </row>
    <row r="142" spans="1:78" x14ac:dyDescent="0.2">
      <c r="A142" s="48"/>
      <c r="B142" s="44"/>
      <c r="C142" s="82"/>
      <c r="D142" s="82"/>
      <c r="E142" s="61"/>
      <c r="F142" s="49"/>
      <c r="G142" s="50"/>
      <c r="H142" s="50"/>
      <c r="I142" s="50"/>
      <c r="J142" s="50"/>
      <c r="K142" s="50"/>
      <c r="L142" s="50"/>
      <c r="M142" s="50"/>
      <c r="N142" s="50"/>
      <c r="O142" s="50"/>
      <c r="P142" s="50"/>
      <c r="Q142" s="50"/>
      <c r="R142" s="50"/>
      <c r="S142" s="50"/>
      <c r="T142" s="50"/>
      <c r="U142" s="50"/>
      <c r="V142" s="50"/>
      <c r="W142" s="50"/>
      <c r="X142" s="50"/>
      <c r="Y142" s="50"/>
      <c r="Z142" s="50"/>
      <c r="AA142" s="50"/>
      <c r="AB142" s="50"/>
      <c r="AC142" s="50"/>
      <c r="AD142" s="50"/>
      <c r="AE142" s="50"/>
      <c r="AF142" s="50"/>
      <c r="AG142" s="50"/>
      <c r="AH142" s="50"/>
      <c r="AI142" s="50"/>
      <c r="AJ142" s="50"/>
      <c r="AK142" s="50"/>
      <c r="AL142" s="50"/>
      <c r="AM142" s="50"/>
      <c r="AN142" s="50"/>
      <c r="AO142" s="50"/>
      <c r="AP142" s="50"/>
      <c r="AQ142" s="50"/>
      <c r="AR142" s="50"/>
      <c r="AS142" s="50"/>
      <c r="AT142" s="50"/>
      <c r="AU142" s="50"/>
      <c r="AV142" s="50"/>
      <c r="AW142" s="50"/>
      <c r="AX142" s="50"/>
      <c r="AY142" s="50"/>
      <c r="AZ142" s="50"/>
      <c r="BA142" s="50"/>
      <c r="BB142" s="50"/>
      <c r="BC142" s="50"/>
      <c r="BD142" s="50"/>
      <c r="BE142" s="50"/>
      <c r="BF142" s="50"/>
      <c r="BG142" s="50"/>
      <c r="BH142" s="50"/>
      <c r="BI142" s="50"/>
      <c r="BJ142" s="50"/>
      <c r="BK142" s="50"/>
      <c r="BL142" s="50"/>
      <c r="BM142" s="50"/>
      <c r="BN142" s="50"/>
      <c r="BO142" s="50"/>
      <c r="BP142" s="50"/>
      <c r="BQ142" s="50"/>
      <c r="BR142" s="50"/>
      <c r="BS142" s="50"/>
      <c r="BT142" s="50"/>
      <c r="BU142" s="50"/>
      <c r="BV142" s="50"/>
      <c r="BW142" s="50"/>
      <c r="BX142" s="50"/>
      <c r="BY142" s="50"/>
      <c r="BZ142" s="51"/>
    </row>
    <row r="143" spans="1:78" x14ac:dyDescent="0.2">
      <c r="A143" s="48"/>
      <c r="B143" s="44"/>
      <c r="C143" s="82"/>
      <c r="D143" s="82"/>
      <c r="E143" s="61"/>
      <c r="F143" s="49"/>
      <c r="G143" s="50"/>
      <c r="H143" s="50"/>
      <c r="I143" s="50"/>
      <c r="J143" s="50"/>
      <c r="K143" s="50"/>
      <c r="L143" s="50"/>
      <c r="M143" s="50"/>
      <c r="N143" s="50"/>
      <c r="O143" s="50"/>
      <c r="P143" s="50"/>
      <c r="Q143" s="50"/>
      <c r="R143" s="50"/>
      <c r="S143" s="50"/>
      <c r="T143" s="50"/>
      <c r="U143" s="50"/>
      <c r="V143" s="50"/>
      <c r="W143" s="50"/>
      <c r="X143" s="50"/>
      <c r="Y143" s="50"/>
      <c r="Z143" s="50"/>
      <c r="AA143" s="50"/>
      <c r="AB143" s="50"/>
      <c r="AC143" s="50"/>
      <c r="AD143" s="50"/>
      <c r="AE143" s="50"/>
      <c r="AF143" s="50"/>
      <c r="AG143" s="50"/>
      <c r="AH143" s="50"/>
      <c r="AI143" s="50"/>
      <c r="AJ143" s="50"/>
      <c r="AK143" s="50"/>
      <c r="AL143" s="50"/>
      <c r="AM143" s="50"/>
      <c r="AN143" s="50"/>
      <c r="AO143" s="50"/>
      <c r="AP143" s="50"/>
      <c r="AQ143" s="50"/>
      <c r="AR143" s="50"/>
      <c r="AS143" s="50"/>
      <c r="AT143" s="50"/>
      <c r="AU143" s="50"/>
      <c r="AV143" s="50"/>
      <c r="AW143" s="50"/>
      <c r="AX143" s="50"/>
      <c r="AY143" s="50"/>
      <c r="AZ143" s="50"/>
      <c r="BA143" s="50"/>
      <c r="BB143" s="50"/>
      <c r="BC143" s="50"/>
      <c r="BD143" s="50"/>
      <c r="BE143" s="50"/>
      <c r="BF143" s="50"/>
      <c r="BG143" s="50"/>
      <c r="BH143" s="50"/>
      <c r="BI143" s="50"/>
      <c r="BJ143" s="50"/>
      <c r="BK143" s="50"/>
      <c r="BL143" s="50"/>
      <c r="BM143" s="50"/>
      <c r="BN143" s="50"/>
      <c r="BO143" s="50"/>
      <c r="BP143" s="50"/>
      <c r="BQ143" s="50"/>
      <c r="BR143" s="50"/>
      <c r="BS143" s="50"/>
      <c r="BT143" s="50"/>
      <c r="BU143" s="50"/>
      <c r="BV143" s="50"/>
      <c r="BW143" s="50"/>
      <c r="BX143" s="50"/>
      <c r="BY143" s="50"/>
      <c r="BZ143" s="51"/>
    </row>
    <row r="144" spans="1:78" x14ac:dyDescent="0.2">
      <c r="A144" s="48"/>
      <c r="B144" s="44"/>
      <c r="C144" s="82"/>
      <c r="D144" s="82"/>
      <c r="E144" s="61"/>
      <c r="F144" s="73"/>
      <c r="G144" s="74"/>
      <c r="H144" s="74"/>
      <c r="I144" s="74"/>
      <c r="J144" s="74"/>
      <c r="K144" s="74"/>
      <c r="L144" s="74"/>
      <c r="M144" s="74"/>
      <c r="N144" s="74"/>
      <c r="O144" s="74"/>
      <c r="P144" s="74"/>
      <c r="Q144" s="74"/>
      <c r="R144" s="74"/>
      <c r="S144" s="74"/>
      <c r="T144" s="74"/>
      <c r="U144" s="74"/>
      <c r="V144" s="74"/>
      <c r="W144" s="74"/>
      <c r="X144" s="74"/>
      <c r="Y144" s="74"/>
      <c r="Z144" s="74"/>
      <c r="AA144" s="74"/>
      <c r="AB144" s="74"/>
      <c r="AC144" s="74"/>
      <c r="AD144" s="74"/>
      <c r="AE144" s="74"/>
      <c r="AF144" s="74"/>
      <c r="AG144" s="74"/>
      <c r="AH144" s="74"/>
      <c r="AI144" s="74"/>
      <c r="AJ144" s="74"/>
      <c r="AK144" s="74"/>
      <c r="AL144" s="74"/>
      <c r="AM144" s="74"/>
      <c r="AN144" s="74"/>
      <c r="AO144" s="74"/>
      <c r="AP144" s="74"/>
      <c r="AQ144" s="74"/>
      <c r="AR144" s="74"/>
      <c r="AS144" s="74"/>
      <c r="AT144" s="74"/>
      <c r="AU144" s="74"/>
      <c r="AV144" s="74"/>
      <c r="AW144" s="74"/>
      <c r="AX144" s="74"/>
      <c r="AY144" s="74"/>
      <c r="AZ144" s="74"/>
      <c r="BA144" s="74"/>
      <c r="BB144" s="74"/>
      <c r="BC144" s="74"/>
      <c r="BD144" s="74"/>
      <c r="BE144" s="74"/>
      <c r="BF144" s="74"/>
      <c r="BG144" s="74"/>
      <c r="BH144" s="74"/>
      <c r="BI144" s="74"/>
      <c r="BJ144" s="74"/>
      <c r="BK144" s="74"/>
      <c r="BL144" s="74"/>
      <c r="BM144" s="74"/>
      <c r="BN144" s="74"/>
      <c r="BO144" s="74"/>
      <c r="BP144" s="74"/>
      <c r="BQ144" s="74"/>
      <c r="BR144" s="74"/>
      <c r="BS144" s="74"/>
      <c r="BT144" s="74"/>
      <c r="BU144" s="74"/>
      <c r="BV144" s="74"/>
      <c r="BW144" s="74"/>
      <c r="BX144" s="74"/>
      <c r="BY144" s="74"/>
      <c r="BZ144" s="75"/>
    </row>
    <row r="145" spans="1:78" x14ac:dyDescent="0.2">
      <c r="A145" s="48"/>
      <c r="B145" s="44"/>
      <c r="C145" s="82"/>
      <c r="D145" s="82"/>
      <c r="E145" s="61"/>
      <c r="F145" s="73"/>
      <c r="G145" s="74"/>
      <c r="H145" s="74"/>
      <c r="I145" s="74"/>
      <c r="J145" s="74"/>
      <c r="K145" s="74"/>
      <c r="L145" s="74"/>
      <c r="M145" s="74"/>
      <c r="N145" s="74"/>
      <c r="O145" s="74"/>
      <c r="P145" s="74"/>
      <c r="Q145" s="74"/>
      <c r="R145" s="74"/>
      <c r="S145" s="74"/>
      <c r="T145" s="74"/>
      <c r="U145" s="74"/>
      <c r="V145" s="74"/>
      <c r="W145" s="74"/>
      <c r="X145" s="74"/>
      <c r="Y145" s="74"/>
      <c r="Z145" s="74"/>
      <c r="AA145" s="74"/>
      <c r="AB145" s="74"/>
      <c r="AC145" s="74"/>
      <c r="AD145" s="74"/>
      <c r="AE145" s="74"/>
      <c r="AF145" s="74"/>
      <c r="AG145" s="74"/>
      <c r="AH145" s="74"/>
      <c r="AI145" s="74"/>
      <c r="AJ145" s="74"/>
      <c r="AK145" s="74"/>
      <c r="AL145" s="74"/>
      <c r="AM145" s="74"/>
      <c r="AN145" s="74"/>
      <c r="AO145" s="74"/>
      <c r="AP145" s="74"/>
      <c r="AQ145" s="74"/>
      <c r="AR145" s="74"/>
      <c r="AS145" s="74"/>
      <c r="AT145" s="74"/>
      <c r="AU145" s="74"/>
      <c r="AV145" s="74"/>
      <c r="AW145" s="74"/>
      <c r="AX145" s="74"/>
      <c r="AY145" s="74"/>
      <c r="AZ145" s="74"/>
      <c r="BA145" s="74"/>
      <c r="BB145" s="74"/>
      <c r="BC145" s="74"/>
      <c r="BD145" s="74"/>
      <c r="BE145" s="74"/>
      <c r="BF145" s="74"/>
      <c r="BG145" s="74"/>
      <c r="BH145" s="74"/>
      <c r="BI145" s="74"/>
      <c r="BJ145" s="74"/>
      <c r="BK145" s="74"/>
      <c r="BL145" s="74"/>
      <c r="BM145" s="74"/>
      <c r="BN145" s="74"/>
      <c r="BO145" s="74"/>
      <c r="BP145" s="74"/>
      <c r="BQ145" s="74"/>
      <c r="BR145" s="74"/>
      <c r="BS145" s="74"/>
      <c r="BT145" s="74"/>
      <c r="BU145" s="74"/>
      <c r="BV145" s="74"/>
      <c r="BW145" s="74"/>
      <c r="BX145" s="74"/>
      <c r="BY145" s="74"/>
      <c r="BZ145" s="75"/>
    </row>
    <row r="146" spans="1:78" x14ac:dyDescent="0.2">
      <c r="A146" s="48"/>
      <c r="B146" s="44"/>
      <c r="C146" s="82"/>
      <c r="D146" s="82"/>
      <c r="E146" s="61"/>
      <c r="F146" s="73"/>
      <c r="G146" s="74"/>
      <c r="H146" s="74"/>
      <c r="I146" s="74"/>
      <c r="J146" s="74"/>
      <c r="K146" s="74"/>
      <c r="L146" s="74"/>
      <c r="M146" s="74"/>
      <c r="N146" s="74"/>
      <c r="O146" s="74"/>
      <c r="P146" s="74"/>
      <c r="Q146" s="74"/>
      <c r="R146" s="74"/>
      <c r="S146" s="74"/>
      <c r="T146" s="74"/>
      <c r="U146" s="74"/>
      <c r="V146" s="74"/>
      <c r="W146" s="74"/>
      <c r="X146" s="74"/>
      <c r="Y146" s="74"/>
      <c r="Z146" s="74"/>
      <c r="AA146" s="74"/>
      <c r="AB146" s="74"/>
      <c r="AC146" s="74"/>
      <c r="AD146" s="74"/>
      <c r="AE146" s="74"/>
      <c r="AF146" s="74"/>
      <c r="AG146" s="74"/>
      <c r="AH146" s="74"/>
      <c r="AI146" s="74"/>
      <c r="AJ146" s="74"/>
      <c r="AK146" s="74"/>
      <c r="AL146" s="74"/>
      <c r="AM146" s="74"/>
      <c r="AN146" s="74"/>
      <c r="AO146" s="74"/>
      <c r="AP146" s="74"/>
      <c r="AQ146" s="74"/>
      <c r="AR146" s="74"/>
      <c r="AS146" s="74"/>
      <c r="AT146" s="74"/>
      <c r="AU146" s="74"/>
      <c r="AV146" s="74"/>
      <c r="AW146" s="74"/>
      <c r="AX146" s="74"/>
      <c r="AY146" s="74"/>
      <c r="AZ146" s="74"/>
      <c r="BA146" s="74"/>
      <c r="BB146" s="74"/>
      <c r="BC146" s="74"/>
      <c r="BD146" s="74"/>
      <c r="BE146" s="74"/>
      <c r="BF146" s="74"/>
      <c r="BG146" s="74"/>
      <c r="BH146" s="74"/>
      <c r="BI146" s="74"/>
      <c r="BJ146" s="74"/>
      <c r="BK146" s="74"/>
      <c r="BL146" s="74"/>
      <c r="BM146" s="74"/>
      <c r="BN146" s="74"/>
      <c r="BO146" s="74"/>
      <c r="BP146" s="74"/>
      <c r="BQ146" s="74"/>
      <c r="BR146" s="74"/>
      <c r="BS146" s="74"/>
      <c r="BT146" s="74"/>
      <c r="BU146" s="74"/>
      <c r="BV146" s="74"/>
      <c r="BW146" s="74"/>
      <c r="BX146" s="74"/>
      <c r="BY146" s="74"/>
      <c r="BZ146" s="75"/>
    </row>
    <row r="147" spans="1:78" x14ac:dyDescent="0.2">
      <c r="A147" s="48"/>
      <c r="B147" s="44"/>
      <c r="C147" s="82"/>
      <c r="D147" s="82"/>
      <c r="E147" s="61"/>
      <c r="F147" s="73"/>
      <c r="G147" s="74"/>
      <c r="H147" s="74"/>
      <c r="I147" s="74"/>
      <c r="J147" s="74"/>
      <c r="K147" s="74"/>
      <c r="L147" s="74"/>
      <c r="M147" s="74"/>
      <c r="N147" s="74"/>
      <c r="O147" s="74"/>
      <c r="P147" s="74"/>
      <c r="Q147" s="74"/>
      <c r="R147" s="74"/>
      <c r="S147" s="74"/>
      <c r="T147" s="74"/>
      <c r="U147" s="74"/>
      <c r="V147" s="74"/>
      <c r="W147" s="74"/>
      <c r="X147" s="74"/>
      <c r="Y147" s="74"/>
      <c r="Z147" s="74"/>
      <c r="AA147" s="74"/>
      <c r="AB147" s="74"/>
      <c r="AC147" s="74"/>
      <c r="AD147" s="74"/>
      <c r="AE147" s="74"/>
      <c r="AF147" s="74"/>
      <c r="AG147" s="74"/>
      <c r="AH147" s="74"/>
      <c r="AI147" s="74"/>
      <c r="AJ147" s="74"/>
      <c r="AK147" s="74"/>
      <c r="AL147" s="74"/>
      <c r="AM147" s="74"/>
      <c r="AN147" s="74"/>
      <c r="AO147" s="74"/>
      <c r="AP147" s="74"/>
      <c r="AQ147" s="74"/>
      <c r="AR147" s="74"/>
      <c r="AS147" s="74"/>
      <c r="AT147" s="74"/>
      <c r="AU147" s="74"/>
      <c r="AV147" s="74"/>
      <c r="AW147" s="74"/>
      <c r="AX147" s="74"/>
      <c r="AY147" s="74"/>
      <c r="AZ147" s="74"/>
      <c r="BA147" s="74"/>
      <c r="BB147" s="74"/>
      <c r="BC147" s="74"/>
      <c r="BD147" s="74"/>
      <c r="BE147" s="74"/>
      <c r="BF147" s="74"/>
      <c r="BG147" s="74"/>
      <c r="BH147" s="74"/>
      <c r="BI147" s="74"/>
      <c r="BJ147" s="74"/>
      <c r="BK147" s="74"/>
      <c r="BL147" s="74"/>
      <c r="BM147" s="74"/>
      <c r="BN147" s="74"/>
      <c r="BO147" s="74"/>
      <c r="BP147" s="74"/>
      <c r="BQ147" s="74"/>
      <c r="BR147" s="74"/>
      <c r="BS147" s="74"/>
      <c r="BT147" s="74"/>
      <c r="BU147" s="74"/>
      <c r="BV147" s="74"/>
      <c r="BW147" s="74"/>
      <c r="BX147" s="74"/>
      <c r="BY147" s="74"/>
      <c r="BZ147" s="75"/>
    </row>
    <row r="148" spans="1:78" x14ac:dyDescent="0.2">
      <c r="A148" s="48"/>
      <c r="B148" s="44"/>
      <c r="C148" s="82"/>
      <c r="D148" s="82"/>
      <c r="E148" s="61"/>
      <c r="F148" s="73"/>
      <c r="G148" s="74"/>
      <c r="H148" s="74"/>
      <c r="I148" s="74"/>
      <c r="J148" s="74"/>
      <c r="K148" s="74"/>
      <c r="L148" s="74"/>
      <c r="M148" s="74"/>
      <c r="N148" s="74"/>
      <c r="O148" s="74"/>
      <c r="P148" s="74"/>
      <c r="Q148" s="74"/>
      <c r="R148" s="74"/>
      <c r="S148" s="74"/>
      <c r="T148" s="74"/>
      <c r="U148" s="74"/>
      <c r="V148" s="74"/>
      <c r="W148" s="74"/>
      <c r="X148" s="74"/>
      <c r="Y148" s="74"/>
      <c r="Z148" s="74"/>
      <c r="AA148" s="74"/>
      <c r="AB148" s="74"/>
      <c r="AC148" s="74"/>
      <c r="AD148" s="74"/>
      <c r="AE148" s="74"/>
      <c r="AF148" s="74"/>
      <c r="AG148" s="74"/>
      <c r="AH148" s="74"/>
      <c r="AI148" s="74"/>
      <c r="AJ148" s="74"/>
      <c r="AK148" s="74"/>
      <c r="AL148" s="74"/>
      <c r="AM148" s="74"/>
      <c r="AN148" s="74"/>
      <c r="AO148" s="74"/>
      <c r="AP148" s="74"/>
      <c r="AQ148" s="74"/>
      <c r="AR148" s="74"/>
      <c r="AS148" s="74"/>
      <c r="AT148" s="74"/>
      <c r="AU148" s="74"/>
      <c r="AV148" s="74"/>
      <c r="AW148" s="74"/>
      <c r="AX148" s="74"/>
      <c r="AY148" s="74"/>
      <c r="AZ148" s="74"/>
      <c r="BA148" s="74"/>
      <c r="BB148" s="74"/>
      <c r="BC148" s="74"/>
      <c r="BD148" s="74"/>
      <c r="BE148" s="74"/>
      <c r="BF148" s="74"/>
      <c r="BG148" s="74"/>
      <c r="BH148" s="74"/>
      <c r="BI148" s="74"/>
      <c r="BJ148" s="74"/>
      <c r="BK148" s="74"/>
      <c r="BL148" s="74"/>
      <c r="BM148" s="74"/>
      <c r="BN148" s="74"/>
      <c r="BO148" s="74"/>
      <c r="BP148" s="74"/>
      <c r="BQ148" s="74"/>
      <c r="BR148" s="74"/>
      <c r="BS148" s="74"/>
      <c r="BT148" s="74"/>
      <c r="BU148" s="74"/>
      <c r="BV148" s="74"/>
      <c r="BW148" s="74"/>
      <c r="BX148" s="74"/>
      <c r="BY148" s="74"/>
      <c r="BZ148" s="75"/>
    </row>
    <row r="149" spans="1:78" x14ac:dyDescent="0.2">
      <c r="A149" s="48"/>
      <c r="B149" s="44"/>
      <c r="C149" s="82"/>
      <c r="D149" s="82"/>
      <c r="E149" s="61"/>
      <c r="F149" s="73"/>
      <c r="G149" s="74"/>
      <c r="H149" s="74"/>
      <c r="I149" s="74"/>
      <c r="J149" s="74"/>
      <c r="K149" s="74"/>
      <c r="L149" s="74"/>
      <c r="M149" s="74"/>
      <c r="N149" s="74"/>
      <c r="O149" s="74"/>
      <c r="P149" s="74"/>
      <c r="Q149" s="74"/>
      <c r="R149" s="74"/>
      <c r="S149" s="74"/>
      <c r="T149" s="74"/>
      <c r="U149" s="74"/>
      <c r="V149" s="74"/>
      <c r="W149" s="74"/>
      <c r="X149" s="74"/>
      <c r="Y149" s="74"/>
      <c r="Z149" s="74"/>
      <c r="AA149" s="74"/>
      <c r="AB149" s="74"/>
      <c r="AC149" s="74"/>
      <c r="AD149" s="74"/>
      <c r="AE149" s="74"/>
      <c r="AF149" s="74"/>
      <c r="AG149" s="74"/>
      <c r="AH149" s="74"/>
      <c r="AI149" s="74"/>
      <c r="AJ149" s="74"/>
      <c r="AK149" s="74"/>
      <c r="AL149" s="74"/>
      <c r="AM149" s="74"/>
      <c r="AN149" s="74"/>
      <c r="AO149" s="74"/>
      <c r="AP149" s="74"/>
      <c r="AQ149" s="74"/>
      <c r="AR149" s="74"/>
      <c r="AS149" s="74"/>
      <c r="AT149" s="74"/>
      <c r="AU149" s="74"/>
      <c r="AV149" s="74"/>
      <c r="AW149" s="74"/>
      <c r="AX149" s="74"/>
      <c r="AY149" s="74"/>
      <c r="AZ149" s="74"/>
      <c r="BA149" s="74"/>
      <c r="BB149" s="74"/>
      <c r="BC149" s="74"/>
      <c r="BD149" s="74"/>
      <c r="BE149" s="74"/>
      <c r="BF149" s="74"/>
      <c r="BG149" s="74"/>
      <c r="BH149" s="74"/>
      <c r="BI149" s="74"/>
      <c r="BJ149" s="74"/>
      <c r="BK149" s="74"/>
      <c r="BL149" s="74"/>
      <c r="BM149" s="74"/>
      <c r="BN149" s="74"/>
      <c r="BO149" s="74"/>
      <c r="BP149" s="74"/>
      <c r="BQ149" s="74"/>
      <c r="BR149" s="74"/>
      <c r="BS149" s="74"/>
      <c r="BT149" s="74"/>
      <c r="BU149" s="74"/>
      <c r="BV149" s="74"/>
      <c r="BW149" s="74"/>
      <c r="BX149" s="74"/>
      <c r="BY149" s="74"/>
      <c r="BZ149" s="75"/>
    </row>
    <row r="150" spans="1:78" x14ac:dyDescent="0.2">
      <c r="A150" s="48"/>
      <c r="B150" s="44"/>
      <c r="C150" s="82"/>
      <c r="D150" s="82"/>
      <c r="E150" s="61"/>
      <c r="F150" s="73"/>
      <c r="G150" s="74"/>
      <c r="H150" s="74"/>
      <c r="I150" s="74"/>
      <c r="J150" s="74"/>
      <c r="K150" s="74"/>
      <c r="L150" s="74"/>
      <c r="M150" s="74"/>
      <c r="N150" s="74"/>
      <c r="O150" s="74"/>
      <c r="P150" s="74"/>
      <c r="Q150" s="74"/>
      <c r="R150" s="74"/>
      <c r="S150" s="74"/>
      <c r="T150" s="74"/>
      <c r="U150" s="74"/>
      <c r="V150" s="74"/>
      <c r="W150" s="74"/>
      <c r="X150" s="74"/>
      <c r="Y150" s="74"/>
      <c r="Z150" s="74"/>
      <c r="AA150" s="74"/>
      <c r="AB150" s="74"/>
      <c r="AC150" s="74"/>
      <c r="AD150" s="74"/>
      <c r="AE150" s="74"/>
      <c r="AF150" s="74"/>
      <c r="AG150" s="74"/>
      <c r="AH150" s="74"/>
      <c r="AI150" s="74"/>
      <c r="AJ150" s="74"/>
      <c r="AK150" s="74"/>
      <c r="AL150" s="74"/>
      <c r="AM150" s="74"/>
      <c r="AN150" s="74"/>
      <c r="AO150" s="74"/>
      <c r="AP150" s="74"/>
      <c r="AQ150" s="74"/>
      <c r="AR150" s="74"/>
      <c r="AS150" s="74"/>
      <c r="AT150" s="74"/>
      <c r="AU150" s="74"/>
      <c r="AV150" s="74"/>
      <c r="AW150" s="74"/>
      <c r="AX150" s="74"/>
      <c r="AY150" s="74"/>
      <c r="AZ150" s="74"/>
      <c r="BA150" s="74"/>
      <c r="BB150" s="74"/>
      <c r="BC150" s="74"/>
      <c r="BD150" s="74"/>
      <c r="BE150" s="74"/>
      <c r="BF150" s="74"/>
      <c r="BG150" s="74"/>
      <c r="BH150" s="74"/>
      <c r="BI150" s="74"/>
      <c r="BJ150" s="74"/>
      <c r="BK150" s="74"/>
      <c r="BL150" s="74"/>
      <c r="BM150" s="74"/>
      <c r="BN150" s="74"/>
      <c r="BO150" s="74"/>
      <c r="BP150" s="74"/>
      <c r="BQ150" s="74"/>
      <c r="BR150" s="74"/>
      <c r="BS150" s="74"/>
      <c r="BT150" s="74"/>
      <c r="BU150" s="74"/>
      <c r="BV150" s="74"/>
      <c r="BW150" s="74"/>
      <c r="BX150" s="74"/>
      <c r="BY150" s="74"/>
      <c r="BZ150" s="75"/>
    </row>
    <row r="151" spans="1:78" x14ac:dyDescent="0.2">
      <c r="A151" s="48"/>
      <c r="B151" s="44"/>
      <c r="C151" s="82"/>
      <c r="D151" s="82"/>
      <c r="E151" s="61"/>
      <c r="F151" s="73"/>
      <c r="G151" s="74"/>
      <c r="H151" s="74"/>
      <c r="I151" s="74"/>
      <c r="J151" s="74"/>
      <c r="K151" s="74"/>
      <c r="L151" s="74"/>
      <c r="M151" s="74"/>
      <c r="N151" s="74"/>
      <c r="O151" s="74"/>
      <c r="P151" s="74"/>
      <c r="Q151" s="74"/>
      <c r="R151" s="74"/>
      <c r="S151" s="74"/>
      <c r="T151" s="74"/>
      <c r="U151" s="74"/>
      <c r="V151" s="74"/>
      <c r="W151" s="74"/>
      <c r="X151" s="74"/>
      <c r="Y151" s="74"/>
      <c r="Z151" s="74"/>
      <c r="AA151" s="74"/>
      <c r="AB151" s="74"/>
      <c r="AC151" s="74"/>
      <c r="AD151" s="74"/>
      <c r="AE151" s="74"/>
      <c r="AF151" s="74"/>
      <c r="AG151" s="74"/>
      <c r="AH151" s="74"/>
      <c r="AI151" s="74"/>
      <c r="AJ151" s="74"/>
      <c r="AK151" s="74"/>
      <c r="AL151" s="74"/>
      <c r="AM151" s="74"/>
      <c r="AN151" s="74"/>
      <c r="AO151" s="74"/>
      <c r="AP151" s="74"/>
      <c r="AQ151" s="74"/>
      <c r="AR151" s="74"/>
      <c r="AS151" s="74"/>
      <c r="AT151" s="74"/>
      <c r="AU151" s="74"/>
      <c r="AV151" s="74"/>
      <c r="AW151" s="74"/>
      <c r="AX151" s="74"/>
      <c r="AY151" s="74"/>
      <c r="AZ151" s="74"/>
      <c r="BA151" s="74"/>
      <c r="BB151" s="74"/>
      <c r="BC151" s="74"/>
      <c r="BD151" s="74"/>
      <c r="BE151" s="74"/>
      <c r="BF151" s="74"/>
      <c r="BG151" s="74"/>
      <c r="BH151" s="74"/>
      <c r="BI151" s="74"/>
      <c r="BJ151" s="74"/>
      <c r="BK151" s="74"/>
      <c r="BL151" s="74"/>
      <c r="BM151" s="74"/>
      <c r="BN151" s="74"/>
      <c r="BO151" s="74"/>
      <c r="BP151" s="74"/>
      <c r="BQ151" s="74"/>
      <c r="BR151" s="74"/>
      <c r="BS151" s="74"/>
      <c r="BT151" s="74"/>
      <c r="BU151" s="74"/>
      <c r="BV151" s="74"/>
      <c r="BW151" s="74"/>
      <c r="BX151" s="74"/>
      <c r="BY151" s="74"/>
      <c r="BZ151" s="75"/>
    </row>
    <row r="152" spans="1:78" x14ac:dyDescent="0.2">
      <c r="A152" s="48"/>
      <c r="B152" s="44"/>
      <c r="C152" s="82"/>
      <c r="D152" s="82"/>
      <c r="E152" s="61"/>
      <c r="F152" s="73"/>
      <c r="G152" s="74"/>
      <c r="H152" s="74"/>
      <c r="I152" s="74"/>
      <c r="J152" s="74"/>
      <c r="K152" s="74"/>
      <c r="L152" s="74"/>
      <c r="M152" s="74"/>
      <c r="N152" s="74"/>
      <c r="O152" s="74"/>
      <c r="P152" s="74"/>
      <c r="Q152" s="74"/>
      <c r="R152" s="74"/>
      <c r="S152" s="74"/>
      <c r="T152" s="74"/>
      <c r="U152" s="74"/>
      <c r="V152" s="74"/>
      <c r="W152" s="74"/>
      <c r="X152" s="74"/>
      <c r="Y152" s="74"/>
      <c r="Z152" s="74"/>
      <c r="AA152" s="74"/>
      <c r="AB152" s="74"/>
      <c r="AC152" s="74"/>
      <c r="AD152" s="74"/>
      <c r="AE152" s="74"/>
      <c r="AF152" s="74"/>
      <c r="AG152" s="74"/>
      <c r="AH152" s="74"/>
      <c r="AI152" s="74"/>
      <c r="AJ152" s="74"/>
      <c r="AK152" s="74"/>
      <c r="AL152" s="74"/>
      <c r="AM152" s="74"/>
      <c r="AN152" s="74"/>
      <c r="AO152" s="74"/>
      <c r="AP152" s="74"/>
      <c r="AQ152" s="74"/>
      <c r="AR152" s="74"/>
      <c r="AS152" s="74"/>
      <c r="AT152" s="74"/>
      <c r="AU152" s="74"/>
      <c r="AV152" s="74"/>
      <c r="AW152" s="74"/>
      <c r="AX152" s="74"/>
      <c r="AY152" s="74"/>
      <c r="AZ152" s="74"/>
      <c r="BA152" s="74"/>
      <c r="BB152" s="74"/>
      <c r="BC152" s="74"/>
      <c r="BD152" s="74"/>
      <c r="BE152" s="74"/>
      <c r="BF152" s="74"/>
      <c r="BG152" s="74"/>
      <c r="BH152" s="74"/>
      <c r="BI152" s="74"/>
      <c r="BJ152" s="74"/>
      <c r="BK152" s="74"/>
      <c r="BL152" s="74"/>
      <c r="BM152" s="74"/>
      <c r="BN152" s="74"/>
      <c r="BO152" s="74"/>
      <c r="BP152" s="74"/>
      <c r="BQ152" s="74"/>
      <c r="BR152" s="74"/>
      <c r="BS152" s="74"/>
      <c r="BT152" s="74"/>
      <c r="BU152" s="74"/>
      <c r="BV152" s="74"/>
      <c r="BW152" s="74"/>
      <c r="BX152" s="74"/>
      <c r="BY152" s="74"/>
      <c r="BZ152" s="75"/>
    </row>
    <row r="153" spans="1:78" x14ac:dyDescent="0.2">
      <c r="A153" s="48"/>
      <c r="B153" s="44"/>
      <c r="C153" s="82"/>
      <c r="D153" s="82"/>
      <c r="E153" s="61"/>
      <c r="F153" s="73"/>
      <c r="G153" s="74"/>
      <c r="H153" s="74"/>
      <c r="I153" s="74"/>
      <c r="J153" s="74"/>
      <c r="K153" s="74"/>
      <c r="L153" s="74"/>
      <c r="M153" s="74"/>
      <c r="N153" s="74"/>
      <c r="O153" s="74"/>
      <c r="P153" s="74"/>
      <c r="Q153" s="74"/>
      <c r="R153" s="74"/>
      <c r="S153" s="74"/>
      <c r="T153" s="74"/>
      <c r="U153" s="74"/>
      <c r="V153" s="74"/>
      <c r="W153" s="74"/>
      <c r="X153" s="74"/>
      <c r="Y153" s="74"/>
      <c r="Z153" s="74"/>
      <c r="AA153" s="74"/>
      <c r="AB153" s="74"/>
      <c r="AC153" s="74"/>
      <c r="AD153" s="74"/>
      <c r="AE153" s="74"/>
      <c r="AF153" s="74"/>
      <c r="AG153" s="74"/>
      <c r="AH153" s="74"/>
      <c r="AI153" s="74"/>
      <c r="AJ153" s="74"/>
      <c r="AK153" s="74"/>
      <c r="AL153" s="74"/>
      <c r="AM153" s="74"/>
      <c r="AN153" s="74"/>
      <c r="AO153" s="74"/>
      <c r="AP153" s="74"/>
      <c r="AQ153" s="74"/>
      <c r="AR153" s="74"/>
      <c r="AS153" s="74"/>
      <c r="AT153" s="74"/>
      <c r="AU153" s="74"/>
      <c r="AV153" s="74"/>
      <c r="AW153" s="74"/>
      <c r="AX153" s="74"/>
      <c r="AY153" s="74"/>
      <c r="AZ153" s="74"/>
      <c r="BA153" s="74"/>
      <c r="BB153" s="74"/>
      <c r="BC153" s="74"/>
      <c r="BD153" s="74"/>
      <c r="BE153" s="74"/>
      <c r="BF153" s="74"/>
      <c r="BG153" s="74"/>
      <c r="BH153" s="74"/>
      <c r="BI153" s="74"/>
      <c r="BJ153" s="74"/>
      <c r="BK153" s="74"/>
      <c r="BL153" s="74"/>
      <c r="BM153" s="74"/>
      <c r="BN153" s="74"/>
      <c r="BO153" s="74"/>
      <c r="BP153" s="74"/>
      <c r="BQ153" s="74"/>
      <c r="BR153" s="74"/>
      <c r="BS153" s="74"/>
      <c r="BT153" s="74"/>
      <c r="BU153" s="74"/>
      <c r="BV153" s="74"/>
      <c r="BW153" s="74"/>
      <c r="BX153" s="74"/>
      <c r="BY153" s="74"/>
      <c r="BZ153" s="75"/>
    </row>
    <row r="154" spans="1:78" x14ac:dyDescent="0.2">
      <c r="A154" s="48"/>
      <c r="B154" s="44"/>
      <c r="C154" s="82"/>
      <c r="D154" s="82"/>
      <c r="E154" s="61"/>
      <c r="F154" s="73"/>
      <c r="G154" s="74"/>
      <c r="H154" s="74"/>
      <c r="I154" s="74"/>
      <c r="J154" s="74"/>
      <c r="K154" s="74"/>
      <c r="L154" s="74"/>
      <c r="M154" s="74"/>
      <c r="N154" s="74"/>
      <c r="O154" s="74"/>
      <c r="P154" s="74"/>
      <c r="Q154" s="74"/>
      <c r="R154" s="74"/>
      <c r="S154" s="74"/>
      <c r="T154" s="74"/>
      <c r="U154" s="74"/>
      <c r="V154" s="74"/>
      <c r="W154" s="74"/>
      <c r="X154" s="74"/>
      <c r="Y154" s="74"/>
      <c r="Z154" s="74"/>
      <c r="AA154" s="74"/>
      <c r="AB154" s="74"/>
      <c r="AC154" s="74"/>
      <c r="AD154" s="74"/>
      <c r="AE154" s="74"/>
      <c r="AF154" s="74"/>
      <c r="AG154" s="74"/>
      <c r="AH154" s="74"/>
      <c r="AI154" s="74"/>
      <c r="AJ154" s="74"/>
      <c r="AK154" s="74"/>
      <c r="AL154" s="74"/>
      <c r="AM154" s="74"/>
      <c r="AN154" s="74"/>
      <c r="AO154" s="74"/>
      <c r="AP154" s="74"/>
      <c r="AQ154" s="74"/>
      <c r="AR154" s="74"/>
      <c r="AS154" s="74"/>
      <c r="AT154" s="74"/>
      <c r="AU154" s="74"/>
      <c r="AV154" s="74"/>
      <c r="AW154" s="74"/>
      <c r="AX154" s="74"/>
      <c r="AY154" s="74"/>
      <c r="AZ154" s="74"/>
      <c r="BA154" s="74"/>
      <c r="BB154" s="74"/>
      <c r="BC154" s="74"/>
      <c r="BD154" s="74"/>
      <c r="BE154" s="74"/>
      <c r="BF154" s="74"/>
      <c r="BG154" s="74"/>
      <c r="BH154" s="74"/>
      <c r="BI154" s="74"/>
      <c r="BJ154" s="74"/>
      <c r="BK154" s="74"/>
      <c r="BL154" s="74"/>
      <c r="BM154" s="74"/>
      <c r="BN154" s="74"/>
      <c r="BO154" s="74"/>
      <c r="BP154" s="74"/>
      <c r="BQ154" s="74"/>
      <c r="BR154" s="74"/>
      <c r="BS154" s="74"/>
      <c r="BT154" s="74"/>
      <c r="BU154" s="74"/>
      <c r="BV154" s="74"/>
      <c r="BW154" s="74"/>
      <c r="BX154" s="74"/>
      <c r="BY154" s="74"/>
      <c r="BZ154" s="75"/>
    </row>
    <row r="155" spans="1:78" x14ac:dyDescent="0.2">
      <c r="A155" s="48"/>
      <c r="B155" s="44"/>
      <c r="C155" s="82"/>
      <c r="D155" s="82"/>
      <c r="E155" s="61"/>
      <c r="F155" s="73"/>
      <c r="G155" s="74"/>
      <c r="H155" s="74"/>
      <c r="I155" s="74"/>
      <c r="J155" s="74"/>
      <c r="K155" s="74"/>
      <c r="L155" s="74"/>
      <c r="M155" s="74"/>
      <c r="N155" s="74"/>
      <c r="O155" s="74"/>
      <c r="P155" s="74"/>
      <c r="Q155" s="74"/>
      <c r="R155" s="74"/>
      <c r="S155" s="74"/>
      <c r="T155" s="74"/>
      <c r="U155" s="74"/>
      <c r="V155" s="74"/>
      <c r="W155" s="74"/>
      <c r="X155" s="74"/>
      <c r="Y155" s="74"/>
      <c r="Z155" s="74"/>
      <c r="AA155" s="74"/>
      <c r="AB155" s="74"/>
      <c r="AC155" s="74"/>
      <c r="AD155" s="74"/>
      <c r="AE155" s="74"/>
      <c r="AF155" s="74"/>
      <c r="AG155" s="74"/>
      <c r="AH155" s="74"/>
      <c r="AI155" s="74"/>
      <c r="AJ155" s="74"/>
      <c r="AK155" s="74"/>
      <c r="AL155" s="74"/>
      <c r="AM155" s="74"/>
      <c r="AN155" s="74"/>
      <c r="AO155" s="74"/>
      <c r="AP155" s="74"/>
      <c r="AQ155" s="74"/>
      <c r="AR155" s="74"/>
      <c r="AS155" s="74"/>
      <c r="AT155" s="74"/>
      <c r="AU155" s="74"/>
      <c r="AV155" s="74"/>
      <c r="AW155" s="74"/>
      <c r="AX155" s="74"/>
      <c r="AY155" s="74"/>
      <c r="AZ155" s="74"/>
      <c r="BA155" s="74"/>
      <c r="BB155" s="74"/>
      <c r="BC155" s="74"/>
      <c r="BD155" s="74"/>
      <c r="BE155" s="74"/>
      <c r="BF155" s="74"/>
      <c r="BG155" s="74"/>
      <c r="BH155" s="74"/>
      <c r="BI155" s="74"/>
      <c r="BJ155" s="74"/>
      <c r="BK155" s="74"/>
      <c r="BL155" s="74"/>
      <c r="BM155" s="74"/>
      <c r="BN155" s="74"/>
      <c r="BO155" s="74"/>
      <c r="BP155" s="74"/>
      <c r="BQ155" s="74"/>
      <c r="BR155" s="74"/>
      <c r="BS155" s="74"/>
      <c r="BT155" s="74"/>
      <c r="BU155" s="74"/>
      <c r="BV155" s="74"/>
      <c r="BW155" s="74"/>
      <c r="BX155" s="74"/>
      <c r="BY155" s="74"/>
      <c r="BZ155" s="75"/>
    </row>
    <row r="156" spans="1:78" x14ac:dyDescent="0.2">
      <c r="A156" s="48"/>
      <c r="B156" s="44"/>
      <c r="C156" s="82"/>
      <c r="D156" s="82"/>
      <c r="E156" s="61"/>
      <c r="F156" s="73"/>
      <c r="G156" s="74"/>
      <c r="H156" s="74"/>
      <c r="I156" s="74"/>
      <c r="J156" s="74"/>
      <c r="K156" s="74"/>
      <c r="L156" s="74"/>
      <c r="M156" s="74"/>
      <c r="N156" s="74"/>
      <c r="O156" s="74"/>
      <c r="P156" s="74"/>
      <c r="Q156" s="74"/>
      <c r="R156" s="74"/>
      <c r="S156" s="74"/>
      <c r="T156" s="74"/>
      <c r="U156" s="74"/>
      <c r="V156" s="74"/>
      <c r="W156" s="74"/>
      <c r="X156" s="74"/>
      <c r="Y156" s="74"/>
      <c r="Z156" s="74"/>
      <c r="AA156" s="74"/>
      <c r="AB156" s="74"/>
      <c r="AC156" s="74"/>
      <c r="AD156" s="74"/>
      <c r="AE156" s="74"/>
      <c r="AF156" s="74"/>
      <c r="AG156" s="74"/>
      <c r="AH156" s="74"/>
      <c r="AI156" s="74"/>
      <c r="AJ156" s="74"/>
      <c r="AK156" s="74"/>
      <c r="AL156" s="74"/>
      <c r="AM156" s="74"/>
      <c r="AN156" s="74"/>
      <c r="AO156" s="74"/>
      <c r="AP156" s="74"/>
      <c r="AQ156" s="74"/>
      <c r="AR156" s="74"/>
      <c r="AS156" s="74"/>
      <c r="AT156" s="74"/>
      <c r="AU156" s="74"/>
      <c r="AV156" s="74"/>
      <c r="AW156" s="74"/>
      <c r="AX156" s="74"/>
      <c r="AY156" s="74"/>
      <c r="AZ156" s="74"/>
      <c r="BA156" s="74"/>
      <c r="BB156" s="74"/>
      <c r="BC156" s="74"/>
      <c r="BD156" s="74"/>
      <c r="BE156" s="74"/>
      <c r="BF156" s="74"/>
      <c r="BG156" s="74"/>
      <c r="BH156" s="74"/>
      <c r="BI156" s="74"/>
      <c r="BJ156" s="74"/>
      <c r="BK156" s="74"/>
      <c r="BL156" s="74"/>
      <c r="BM156" s="74"/>
      <c r="BN156" s="74"/>
      <c r="BO156" s="74"/>
      <c r="BP156" s="74"/>
      <c r="BQ156" s="74"/>
      <c r="BR156" s="74"/>
      <c r="BS156" s="74"/>
      <c r="BT156" s="74"/>
      <c r="BU156" s="74"/>
      <c r="BV156" s="74"/>
      <c r="BW156" s="74"/>
      <c r="BX156" s="74"/>
      <c r="BY156" s="74"/>
      <c r="BZ156" s="75"/>
    </row>
    <row r="157" spans="1:78" x14ac:dyDescent="0.2">
      <c r="A157" s="48"/>
      <c r="B157" s="44"/>
      <c r="C157" s="82"/>
      <c r="D157" s="82"/>
      <c r="E157" s="61"/>
      <c r="F157" s="73"/>
      <c r="G157" s="74"/>
      <c r="H157" s="74"/>
      <c r="I157" s="74"/>
      <c r="J157" s="74"/>
      <c r="K157" s="74"/>
      <c r="L157" s="74"/>
      <c r="M157" s="74"/>
      <c r="N157" s="74"/>
      <c r="O157" s="74"/>
      <c r="P157" s="74"/>
      <c r="Q157" s="74"/>
      <c r="R157" s="74"/>
      <c r="S157" s="74"/>
      <c r="T157" s="74"/>
      <c r="U157" s="74"/>
      <c r="V157" s="74"/>
      <c r="W157" s="74"/>
      <c r="X157" s="74"/>
      <c r="Y157" s="74"/>
      <c r="Z157" s="74"/>
      <c r="AA157" s="74"/>
      <c r="AB157" s="74"/>
      <c r="AC157" s="74"/>
      <c r="AD157" s="74"/>
      <c r="AE157" s="74"/>
      <c r="AF157" s="74"/>
      <c r="AG157" s="74"/>
      <c r="AH157" s="74"/>
      <c r="AI157" s="74"/>
      <c r="AJ157" s="74"/>
      <c r="AK157" s="74"/>
      <c r="AL157" s="74"/>
      <c r="AM157" s="74"/>
      <c r="AN157" s="74"/>
      <c r="AO157" s="74"/>
      <c r="AP157" s="74"/>
      <c r="AQ157" s="74"/>
      <c r="AR157" s="74"/>
      <c r="AS157" s="74"/>
      <c r="AT157" s="74"/>
      <c r="AU157" s="74"/>
      <c r="AV157" s="74"/>
      <c r="AW157" s="74"/>
      <c r="AX157" s="74"/>
      <c r="AY157" s="74"/>
      <c r="AZ157" s="74"/>
      <c r="BA157" s="74"/>
      <c r="BB157" s="74"/>
      <c r="BC157" s="74"/>
      <c r="BD157" s="74"/>
      <c r="BE157" s="74"/>
      <c r="BF157" s="74"/>
      <c r="BG157" s="74"/>
      <c r="BH157" s="74"/>
      <c r="BI157" s="74"/>
      <c r="BJ157" s="74"/>
      <c r="BK157" s="74"/>
      <c r="BL157" s="74"/>
      <c r="BM157" s="74"/>
      <c r="BN157" s="74"/>
      <c r="BO157" s="74"/>
      <c r="BP157" s="74"/>
      <c r="BQ157" s="74"/>
      <c r="BR157" s="74"/>
      <c r="BS157" s="74"/>
      <c r="BT157" s="74"/>
      <c r="BU157" s="74"/>
      <c r="BV157" s="74"/>
      <c r="BW157" s="74"/>
      <c r="BX157" s="74"/>
      <c r="BY157" s="74"/>
      <c r="BZ157" s="75"/>
    </row>
    <row r="158" spans="1:78" x14ac:dyDescent="0.2">
      <c r="A158" s="48"/>
      <c r="B158" s="44"/>
      <c r="C158" s="82"/>
      <c r="D158" s="82"/>
      <c r="E158" s="61"/>
      <c r="F158" s="73"/>
      <c r="G158" s="74"/>
      <c r="H158" s="74"/>
      <c r="I158" s="74"/>
      <c r="J158" s="74"/>
      <c r="K158" s="74"/>
      <c r="L158" s="74"/>
      <c r="M158" s="74"/>
      <c r="N158" s="74"/>
      <c r="O158" s="74"/>
      <c r="P158" s="74"/>
      <c r="Q158" s="74"/>
      <c r="R158" s="74"/>
      <c r="S158" s="74"/>
      <c r="T158" s="74"/>
      <c r="U158" s="74"/>
      <c r="V158" s="74"/>
      <c r="W158" s="74"/>
      <c r="X158" s="74"/>
      <c r="Y158" s="74"/>
      <c r="Z158" s="74"/>
      <c r="AA158" s="74"/>
      <c r="AB158" s="74"/>
      <c r="AC158" s="74"/>
      <c r="AD158" s="74"/>
      <c r="AE158" s="74"/>
      <c r="AF158" s="74"/>
      <c r="AG158" s="74"/>
      <c r="AH158" s="74"/>
      <c r="AI158" s="74"/>
      <c r="AJ158" s="74"/>
      <c r="AK158" s="74"/>
      <c r="AL158" s="74"/>
      <c r="AM158" s="74"/>
      <c r="AN158" s="74"/>
      <c r="AO158" s="74"/>
      <c r="AP158" s="74"/>
      <c r="AQ158" s="74"/>
      <c r="AR158" s="74"/>
      <c r="AS158" s="74"/>
      <c r="AT158" s="74"/>
      <c r="AU158" s="74"/>
      <c r="AV158" s="74"/>
      <c r="AW158" s="74"/>
      <c r="AX158" s="74"/>
      <c r="AY158" s="74"/>
      <c r="AZ158" s="74"/>
      <c r="BA158" s="74"/>
      <c r="BB158" s="74"/>
      <c r="BC158" s="74"/>
      <c r="BD158" s="74"/>
      <c r="BE158" s="74"/>
      <c r="BF158" s="74"/>
      <c r="BG158" s="74"/>
      <c r="BH158" s="74"/>
      <c r="BI158" s="74"/>
      <c r="BJ158" s="74"/>
      <c r="BK158" s="74"/>
      <c r="BL158" s="74"/>
      <c r="BM158" s="74"/>
      <c r="BN158" s="74"/>
      <c r="BO158" s="74"/>
      <c r="BP158" s="74"/>
      <c r="BQ158" s="74"/>
      <c r="BR158" s="74"/>
      <c r="BS158" s="74"/>
      <c r="BT158" s="74"/>
      <c r="BU158" s="74"/>
      <c r="BV158" s="74"/>
      <c r="BW158" s="74"/>
      <c r="BX158" s="74"/>
      <c r="BY158" s="74"/>
      <c r="BZ158" s="75"/>
    </row>
    <row r="159" spans="1:78" x14ac:dyDescent="0.2">
      <c r="A159" s="48"/>
      <c r="B159" s="44"/>
      <c r="C159" s="82"/>
      <c r="D159" s="82"/>
      <c r="E159" s="61"/>
      <c r="F159" s="73"/>
      <c r="G159" s="74"/>
      <c r="H159" s="74"/>
      <c r="I159" s="74"/>
      <c r="J159" s="74"/>
      <c r="K159" s="74"/>
      <c r="L159" s="74"/>
      <c r="M159" s="74"/>
      <c r="N159" s="74"/>
      <c r="O159" s="74"/>
      <c r="P159" s="74"/>
      <c r="Q159" s="74"/>
      <c r="R159" s="74"/>
      <c r="S159" s="74"/>
      <c r="T159" s="74"/>
      <c r="U159" s="74"/>
      <c r="V159" s="74"/>
      <c r="W159" s="74"/>
      <c r="X159" s="74"/>
      <c r="Y159" s="74"/>
      <c r="Z159" s="74"/>
      <c r="AA159" s="74"/>
      <c r="AB159" s="74"/>
      <c r="AC159" s="74"/>
      <c r="AD159" s="74"/>
      <c r="AE159" s="74"/>
      <c r="AF159" s="74"/>
      <c r="AG159" s="74"/>
      <c r="AH159" s="74"/>
      <c r="AI159" s="74"/>
      <c r="AJ159" s="74"/>
      <c r="AK159" s="74"/>
      <c r="AL159" s="74"/>
      <c r="AM159" s="74"/>
      <c r="AN159" s="74"/>
      <c r="AO159" s="74"/>
      <c r="AP159" s="74"/>
      <c r="AQ159" s="74"/>
      <c r="AR159" s="74"/>
      <c r="AS159" s="74"/>
      <c r="AT159" s="74"/>
      <c r="AU159" s="74"/>
      <c r="AV159" s="74"/>
      <c r="AW159" s="74"/>
      <c r="AX159" s="74"/>
      <c r="AY159" s="74"/>
      <c r="AZ159" s="74"/>
      <c r="BA159" s="74"/>
      <c r="BB159" s="74"/>
      <c r="BC159" s="74"/>
      <c r="BD159" s="74"/>
      <c r="BE159" s="74"/>
      <c r="BF159" s="74"/>
      <c r="BG159" s="74"/>
      <c r="BH159" s="74"/>
      <c r="BI159" s="74"/>
      <c r="BJ159" s="74"/>
      <c r="BK159" s="74"/>
      <c r="BL159" s="74"/>
      <c r="BM159" s="74"/>
      <c r="BN159" s="74"/>
      <c r="BO159" s="74"/>
      <c r="BP159" s="74"/>
      <c r="BQ159" s="74"/>
      <c r="BR159" s="74"/>
      <c r="BS159" s="74"/>
      <c r="BT159" s="74"/>
      <c r="BU159" s="74"/>
      <c r="BV159" s="74"/>
      <c r="BW159" s="74"/>
      <c r="BX159" s="74"/>
      <c r="BY159" s="74"/>
      <c r="BZ159" s="75"/>
    </row>
    <row r="160" spans="1:78" x14ac:dyDescent="0.2">
      <c r="A160" s="48"/>
      <c r="B160" s="44"/>
      <c r="C160" s="82"/>
      <c r="D160" s="82"/>
      <c r="E160" s="61"/>
      <c r="F160" s="73"/>
      <c r="G160" s="74"/>
      <c r="H160" s="74"/>
      <c r="I160" s="74"/>
      <c r="J160" s="74"/>
      <c r="K160" s="74"/>
      <c r="L160" s="74"/>
      <c r="M160" s="74"/>
      <c r="N160" s="74"/>
      <c r="O160" s="74"/>
      <c r="P160" s="74"/>
      <c r="Q160" s="74"/>
      <c r="R160" s="74"/>
      <c r="S160" s="74"/>
      <c r="T160" s="74"/>
      <c r="U160" s="74"/>
      <c r="V160" s="74"/>
      <c r="W160" s="74"/>
      <c r="X160" s="74"/>
      <c r="Y160" s="74"/>
      <c r="Z160" s="74"/>
      <c r="AA160" s="74"/>
      <c r="AB160" s="74"/>
      <c r="AC160" s="74"/>
      <c r="AD160" s="74"/>
      <c r="AE160" s="74"/>
      <c r="AF160" s="74"/>
      <c r="AG160" s="74"/>
      <c r="AH160" s="74"/>
      <c r="AI160" s="74"/>
      <c r="AJ160" s="74"/>
      <c r="AK160" s="74"/>
      <c r="AL160" s="74"/>
      <c r="AM160" s="74"/>
      <c r="AN160" s="74"/>
      <c r="AO160" s="74"/>
      <c r="AP160" s="74"/>
      <c r="AQ160" s="74"/>
      <c r="AR160" s="74"/>
      <c r="AS160" s="74"/>
      <c r="AT160" s="74"/>
      <c r="AU160" s="74"/>
      <c r="AV160" s="74"/>
      <c r="AW160" s="74"/>
      <c r="AX160" s="74"/>
      <c r="AY160" s="74"/>
      <c r="AZ160" s="74"/>
      <c r="BA160" s="74"/>
      <c r="BB160" s="74"/>
      <c r="BC160" s="74"/>
      <c r="BD160" s="74"/>
      <c r="BE160" s="74"/>
      <c r="BF160" s="74"/>
      <c r="BG160" s="74"/>
      <c r="BH160" s="74"/>
      <c r="BI160" s="74"/>
      <c r="BJ160" s="74"/>
      <c r="BK160" s="74"/>
      <c r="BL160" s="74"/>
      <c r="BM160" s="74"/>
      <c r="BN160" s="74"/>
      <c r="BO160" s="74"/>
      <c r="BP160" s="74"/>
      <c r="BQ160" s="74"/>
      <c r="BR160" s="74"/>
      <c r="BS160" s="74"/>
      <c r="BT160" s="74"/>
      <c r="BU160" s="74"/>
      <c r="BV160" s="74"/>
      <c r="BW160" s="74"/>
      <c r="BX160" s="74"/>
      <c r="BY160" s="74"/>
      <c r="BZ160" s="75"/>
    </row>
    <row r="161" spans="1:78" x14ac:dyDescent="0.2">
      <c r="A161" s="48"/>
      <c r="B161" s="44"/>
      <c r="C161" s="82"/>
      <c r="D161" s="82"/>
      <c r="E161" s="61"/>
      <c r="F161" s="73"/>
      <c r="G161" s="74"/>
      <c r="H161" s="74"/>
      <c r="I161" s="74"/>
      <c r="J161" s="74"/>
      <c r="K161" s="74"/>
      <c r="L161" s="74"/>
      <c r="M161" s="74"/>
      <c r="N161" s="74"/>
      <c r="O161" s="74"/>
      <c r="P161" s="74"/>
      <c r="Q161" s="74"/>
      <c r="R161" s="74"/>
      <c r="S161" s="74"/>
      <c r="T161" s="74"/>
      <c r="U161" s="74"/>
      <c r="V161" s="74"/>
      <c r="W161" s="74"/>
      <c r="X161" s="74"/>
      <c r="Y161" s="74"/>
      <c r="Z161" s="74"/>
      <c r="AA161" s="74"/>
      <c r="AB161" s="74"/>
      <c r="AC161" s="74"/>
      <c r="AD161" s="74"/>
      <c r="AE161" s="74"/>
      <c r="AF161" s="74"/>
      <c r="AG161" s="74"/>
      <c r="AH161" s="74"/>
      <c r="AI161" s="74"/>
      <c r="AJ161" s="74"/>
      <c r="AK161" s="74"/>
      <c r="AL161" s="74"/>
      <c r="AM161" s="74"/>
      <c r="AN161" s="74"/>
      <c r="AO161" s="74"/>
      <c r="AP161" s="74"/>
      <c r="AQ161" s="74"/>
      <c r="AR161" s="74"/>
      <c r="AS161" s="74"/>
      <c r="AT161" s="74"/>
      <c r="AU161" s="74"/>
      <c r="AV161" s="74"/>
      <c r="AW161" s="74"/>
      <c r="AX161" s="74"/>
      <c r="AY161" s="74"/>
      <c r="AZ161" s="74"/>
      <c r="BA161" s="74"/>
      <c r="BB161" s="74"/>
      <c r="BC161" s="74"/>
      <c r="BD161" s="74"/>
      <c r="BE161" s="74"/>
      <c r="BF161" s="74"/>
      <c r="BG161" s="74"/>
      <c r="BH161" s="74"/>
      <c r="BI161" s="74"/>
      <c r="BJ161" s="74"/>
      <c r="BK161" s="74"/>
      <c r="BL161" s="74"/>
      <c r="BM161" s="74"/>
      <c r="BN161" s="74"/>
      <c r="BO161" s="74"/>
      <c r="BP161" s="74"/>
      <c r="BQ161" s="74"/>
      <c r="BR161" s="74"/>
      <c r="BS161" s="74"/>
      <c r="BT161" s="74"/>
      <c r="BU161" s="74"/>
      <c r="BV161" s="74"/>
      <c r="BW161" s="74"/>
      <c r="BX161" s="74"/>
      <c r="BY161" s="74"/>
      <c r="BZ161" s="75"/>
    </row>
    <row r="162" spans="1:78" x14ac:dyDescent="0.2">
      <c r="A162" s="48"/>
      <c r="B162" s="44"/>
      <c r="C162" s="82"/>
      <c r="D162" s="82"/>
      <c r="E162" s="61"/>
      <c r="F162" s="73"/>
      <c r="G162" s="74"/>
      <c r="H162" s="74"/>
      <c r="I162" s="74"/>
      <c r="J162" s="74"/>
      <c r="K162" s="74"/>
      <c r="L162" s="74"/>
      <c r="M162" s="74"/>
      <c r="N162" s="74"/>
      <c r="O162" s="74"/>
      <c r="P162" s="74"/>
      <c r="Q162" s="74"/>
      <c r="R162" s="74"/>
      <c r="S162" s="74"/>
      <c r="T162" s="74"/>
      <c r="U162" s="74"/>
      <c r="V162" s="74"/>
      <c r="W162" s="74"/>
      <c r="X162" s="74"/>
      <c r="Y162" s="74"/>
      <c r="Z162" s="74"/>
      <c r="AA162" s="74"/>
      <c r="AB162" s="74"/>
      <c r="AC162" s="74"/>
      <c r="AD162" s="74"/>
      <c r="AE162" s="74"/>
      <c r="AF162" s="74"/>
      <c r="AG162" s="74"/>
      <c r="AH162" s="74"/>
      <c r="AI162" s="74"/>
      <c r="AJ162" s="74"/>
      <c r="AK162" s="74"/>
      <c r="AL162" s="74"/>
      <c r="AM162" s="74"/>
      <c r="AN162" s="74"/>
      <c r="AO162" s="74"/>
      <c r="AP162" s="74"/>
      <c r="AQ162" s="74"/>
      <c r="AR162" s="74"/>
      <c r="AS162" s="74"/>
      <c r="AT162" s="74"/>
      <c r="AU162" s="74"/>
      <c r="AV162" s="74"/>
      <c r="AW162" s="74"/>
      <c r="AX162" s="74"/>
      <c r="AY162" s="74"/>
      <c r="AZ162" s="74"/>
      <c r="BA162" s="74"/>
      <c r="BB162" s="74"/>
      <c r="BC162" s="74"/>
      <c r="BD162" s="74"/>
      <c r="BE162" s="74"/>
      <c r="BF162" s="74"/>
      <c r="BG162" s="74"/>
      <c r="BH162" s="74"/>
      <c r="BI162" s="74"/>
      <c r="BJ162" s="74"/>
      <c r="BK162" s="74"/>
      <c r="BL162" s="74"/>
      <c r="BM162" s="74"/>
      <c r="BN162" s="74"/>
      <c r="BO162" s="74"/>
      <c r="BP162" s="74"/>
      <c r="BQ162" s="74"/>
      <c r="BR162" s="74"/>
      <c r="BS162" s="74"/>
      <c r="BT162" s="74"/>
      <c r="BU162" s="74"/>
      <c r="BV162" s="74"/>
      <c r="BW162" s="74"/>
      <c r="BX162" s="74"/>
      <c r="BY162" s="74"/>
      <c r="BZ162" s="75"/>
    </row>
    <row r="163" spans="1:78" x14ac:dyDescent="0.2">
      <c r="A163" s="48"/>
      <c r="B163" s="44"/>
      <c r="C163" s="82"/>
      <c r="D163" s="82"/>
      <c r="E163" s="61"/>
      <c r="F163" s="73"/>
      <c r="G163" s="74"/>
      <c r="H163" s="74"/>
      <c r="I163" s="74"/>
      <c r="J163" s="74"/>
      <c r="K163" s="74"/>
      <c r="L163" s="74"/>
      <c r="M163" s="74"/>
      <c r="N163" s="74"/>
      <c r="O163" s="74"/>
      <c r="P163" s="74"/>
      <c r="Q163" s="74"/>
      <c r="R163" s="74"/>
      <c r="S163" s="74"/>
      <c r="T163" s="74"/>
      <c r="U163" s="74"/>
      <c r="V163" s="74"/>
      <c r="W163" s="74"/>
      <c r="X163" s="74"/>
      <c r="Y163" s="74"/>
      <c r="Z163" s="74"/>
      <c r="AA163" s="74"/>
      <c r="AB163" s="74"/>
      <c r="AC163" s="74"/>
      <c r="AD163" s="74"/>
      <c r="AE163" s="74"/>
      <c r="AF163" s="74"/>
      <c r="AG163" s="74"/>
      <c r="AH163" s="74"/>
      <c r="AI163" s="74"/>
      <c r="AJ163" s="74"/>
      <c r="AK163" s="74"/>
      <c r="AL163" s="74"/>
      <c r="AM163" s="74"/>
      <c r="AN163" s="74"/>
      <c r="AO163" s="74"/>
      <c r="AP163" s="74"/>
      <c r="AQ163" s="74"/>
      <c r="AR163" s="74"/>
      <c r="AS163" s="74"/>
      <c r="AT163" s="74"/>
      <c r="AU163" s="74"/>
      <c r="AV163" s="74"/>
      <c r="AW163" s="74"/>
      <c r="AX163" s="74"/>
      <c r="AY163" s="74"/>
      <c r="AZ163" s="74"/>
      <c r="BA163" s="74"/>
      <c r="BB163" s="74"/>
      <c r="BC163" s="74"/>
      <c r="BD163" s="74"/>
      <c r="BE163" s="74"/>
      <c r="BF163" s="74"/>
      <c r="BG163" s="74"/>
      <c r="BH163" s="74"/>
      <c r="BI163" s="74"/>
      <c r="BJ163" s="74"/>
      <c r="BK163" s="74"/>
      <c r="BL163" s="74"/>
      <c r="BM163" s="74"/>
      <c r="BN163" s="74"/>
      <c r="BO163" s="74"/>
      <c r="BP163" s="74"/>
      <c r="BQ163" s="74"/>
      <c r="BR163" s="74"/>
      <c r="BS163" s="74"/>
      <c r="BT163" s="74"/>
      <c r="BU163" s="74"/>
      <c r="BV163" s="74"/>
      <c r="BW163" s="74"/>
      <c r="BX163" s="74"/>
      <c r="BY163" s="74"/>
      <c r="BZ163" s="75"/>
    </row>
    <row r="164" spans="1:78" x14ac:dyDescent="0.2">
      <c r="A164" s="48"/>
      <c r="B164" s="44"/>
      <c r="C164" s="82"/>
      <c r="D164" s="82"/>
      <c r="E164" s="61"/>
      <c r="F164" s="73"/>
      <c r="G164" s="74"/>
      <c r="H164" s="74"/>
      <c r="I164" s="74"/>
      <c r="J164" s="74"/>
      <c r="K164" s="74"/>
      <c r="L164" s="74"/>
      <c r="M164" s="74"/>
      <c r="N164" s="74"/>
      <c r="O164" s="74"/>
      <c r="P164" s="74"/>
      <c r="Q164" s="74"/>
      <c r="R164" s="74"/>
      <c r="S164" s="74"/>
      <c r="T164" s="74"/>
      <c r="U164" s="74"/>
      <c r="V164" s="74"/>
      <c r="W164" s="74"/>
      <c r="X164" s="74"/>
      <c r="Y164" s="74"/>
      <c r="Z164" s="74"/>
      <c r="AA164" s="74"/>
      <c r="AB164" s="74"/>
      <c r="AC164" s="74"/>
      <c r="AD164" s="74"/>
      <c r="AE164" s="74"/>
      <c r="AF164" s="74"/>
      <c r="AG164" s="74"/>
      <c r="AH164" s="74"/>
      <c r="AI164" s="74"/>
      <c r="AJ164" s="74"/>
      <c r="AK164" s="74"/>
      <c r="AL164" s="74"/>
      <c r="AM164" s="74"/>
      <c r="AN164" s="74"/>
      <c r="AO164" s="74"/>
      <c r="AP164" s="74"/>
      <c r="AQ164" s="74"/>
      <c r="AR164" s="74"/>
      <c r="AS164" s="74"/>
      <c r="AT164" s="74"/>
      <c r="AU164" s="74"/>
      <c r="AV164" s="74"/>
      <c r="AW164" s="74"/>
      <c r="AX164" s="74"/>
      <c r="AY164" s="74"/>
      <c r="AZ164" s="74"/>
      <c r="BA164" s="74"/>
      <c r="BB164" s="74"/>
      <c r="BC164" s="74"/>
      <c r="BD164" s="74"/>
      <c r="BE164" s="74"/>
      <c r="BF164" s="74"/>
      <c r="BG164" s="74"/>
      <c r="BH164" s="74"/>
      <c r="BI164" s="74"/>
      <c r="BJ164" s="74"/>
      <c r="BK164" s="74"/>
      <c r="BL164" s="74"/>
      <c r="BM164" s="74"/>
      <c r="BN164" s="74"/>
      <c r="BO164" s="74"/>
      <c r="BP164" s="74"/>
      <c r="BQ164" s="74"/>
      <c r="BR164" s="74"/>
      <c r="BS164" s="74"/>
      <c r="BT164" s="74"/>
      <c r="BU164" s="74"/>
      <c r="BV164" s="74"/>
      <c r="BW164" s="74"/>
      <c r="BX164" s="74"/>
      <c r="BY164" s="74"/>
      <c r="BZ164" s="75"/>
    </row>
    <row r="165" spans="1:78" x14ac:dyDescent="0.2">
      <c r="A165" s="48"/>
      <c r="B165" s="44"/>
      <c r="C165" s="82"/>
      <c r="D165" s="82"/>
      <c r="E165" s="61"/>
      <c r="F165" s="73"/>
      <c r="G165" s="74"/>
      <c r="H165" s="74"/>
      <c r="I165" s="74"/>
      <c r="J165" s="74"/>
      <c r="K165" s="74"/>
      <c r="L165" s="74"/>
      <c r="M165" s="74"/>
      <c r="N165" s="74"/>
      <c r="O165" s="74"/>
      <c r="P165" s="74"/>
      <c r="Q165" s="74"/>
      <c r="R165" s="74"/>
      <c r="S165" s="74"/>
      <c r="T165" s="74"/>
      <c r="U165" s="74"/>
      <c r="V165" s="74"/>
      <c r="W165" s="74"/>
      <c r="X165" s="74"/>
      <c r="Y165" s="74"/>
      <c r="Z165" s="74"/>
      <c r="AA165" s="74"/>
      <c r="AB165" s="74"/>
      <c r="AC165" s="74"/>
      <c r="AD165" s="74"/>
      <c r="AE165" s="74"/>
      <c r="AF165" s="74"/>
      <c r="AG165" s="74"/>
      <c r="AH165" s="74"/>
      <c r="AI165" s="74"/>
      <c r="AJ165" s="74"/>
      <c r="AK165" s="74"/>
      <c r="AL165" s="74"/>
      <c r="AM165" s="74"/>
      <c r="AN165" s="74"/>
      <c r="AO165" s="74"/>
      <c r="AP165" s="74"/>
      <c r="AQ165" s="74"/>
      <c r="AR165" s="74"/>
      <c r="AS165" s="74"/>
      <c r="AT165" s="74"/>
      <c r="AU165" s="74"/>
      <c r="AV165" s="74"/>
      <c r="AW165" s="74"/>
      <c r="AX165" s="74"/>
      <c r="AY165" s="74"/>
      <c r="AZ165" s="74"/>
      <c r="BA165" s="74"/>
      <c r="BB165" s="74"/>
      <c r="BC165" s="74"/>
      <c r="BD165" s="74"/>
      <c r="BE165" s="74"/>
      <c r="BF165" s="74"/>
      <c r="BG165" s="74"/>
      <c r="BH165" s="74"/>
      <c r="BI165" s="74"/>
      <c r="BJ165" s="74"/>
      <c r="BK165" s="74"/>
      <c r="BL165" s="74"/>
      <c r="BM165" s="74"/>
      <c r="BN165" s="74"/>
      <c r="BO165" s="74"/>
      <c r="BP165" s="74"/>
      <c r="BQ165" s="74"/>
      <c r="BR165" s="74"/>
      <c r="BS165" s="74"/>
      <c r="BT165" s="74"/>
      <c r="BU165" s="74"/>
      <c r="BV165" s="74"/>
      <c r="BW165" s="74"/>
      <c r="BX165" s="74"/>
      <c r="BY165" s="74"/>
      <c r="BZ165" s="75"/>
    </row>
    <row r="166" spans="1:78" x14ac:dyDescent="0.2">
      <c r="A166" s="48"/>
      <c r="B166" s="44"/>
      <c r="C166" s="82"/>
      <c r="D166" s="82"/>
      <c r="E166" s="61"/>
      <c r="F166" s="73"/>
      <c r="G166" s="74"/>
      <c r="H166" s="74"/>
      <c r="I166" s="74"/>
      <c r="J166" s="74"/>
      <c r="K166" s="74"/>
      <c r="L166" s="74"/>
      <c r="M166" s="74"/>
      <c r="N166" s="74"/>
      <c r="O166" s="74"/>
      <c r="P166" s="74"/>
      <c r="Q166" s="74"/>
      <c r="R166" s="74"/>
      <c r="S166" s="74"/>
      <c r="T166" s="74"/>
      <c r="U166" s="74"/>
      <c r="V166" s="74"/>
      <c r="W166" s="74"/>
      <c r="X166" s="74"/>
      <c r="Y166" s="74"/>
      <c r="Z166" s="74"/>
      <c r="AA166" s="74"/>
      <c r="AB166" s="74"/>
      <c r="AC166" s="74"/>
      <c r="AD166" s="74"/>
      <c r="AE166" s="74"/>
      <c r="AF166" s="74"/>
      <c r="AG166" s="74"/>
      <c r="AH166" s="74"/>
      <c r="AI166" s="74"/>
      <c r="AJ166" s="74"/>
      <c r="AK166" s="74"/>
      <c r="AL166" s="74"/>
      <c r="AM166" s="74"/>
      <c r="AN166" s="74"/>
      <c r="AO166" s="74"/>
      <c r="AP166" s="74"/>
      <c r="AQ166" s="74"/>
      <c r="AR166" s="74"/>
      <c r="AS166" s="74"/>
      <c r="AT166" s="74"/>
      <c r="AU166" s="74"/>
      <c r="AV166" s="74"/>
      <c r="AW166" s="74"/>
      <c r="AX166" s="74"/>
      <c r="AY166" s="74"/>
      <c r="AZ166" s="74"/>
      <c r="BA166" s="74"/>
      <c r="BB166" s="74"/>
      <c r="BC166" s="74"/>
      <c r="BD166" s="74"/>
      <c r="BE166" s="74"/>
      <c r="BF166" s="74"/>
      <c r="BG166" s="74"/>
      <c r="BH166" s="74"/>
      <c r="BI166" s="74"/>
      <c r="BJ166" s="74"/>
      <c r="BK166" s="74"/>
      <c r="BL166" s="74"/>
      <c r="BM166" s="74"/>
      <c r="BN166" s="74"/>
      <c r="BO166" s="74"/>
      <c r="BP166" s="74"/>
      <c r="BQ166" s="74"/>
      <c r="BR166" s="74"/>
      <c r="BS166" s="74"/>
      <c r="BT166" s="74"/>
      <c r="BU166" s="74"/>
      <c r="BV166" s="74"/>
      <c r="BW166" s="74"/>
      <c r="BX166" s="74"/>
      <c r="BY166" s="74"/>
      <c r="BZ166" s="75"/>
    </row>
    <row r="167" spans="1:78" x14ac:dyDescent="0.2">
      <c r="A167" s="48"/>
      <c r="B167" s="44"/>
      <c r="C167" s="82"/>
      <c r="D167" s="82"/>
      <c r="E167" s="61"/>
      <c r="F167" s="73"/>
      <c r="G167" s="74"/>
      <c r="H167" s="74"/>
      <c r="I167" s="74"/>
      <c r="J167" s="74"/>
      <c r="K167" s="74"/>
      <c r="L167" s="74"/>
      <c r="M167" s="74"/>
      <c r="N167" s="74"/>
      <c r="O167" s="74"/>
      <c r="P167" s="74"/>
      <c r="Q167" s="74"/>
      <c r="R167" s="74"/>
      <c r="S167" s="74"/>
      <c r="T167" s="74"/>
      <c r="U167" s="74"/>
      <c r="V167" s="74"/>
      <c r="W167" s="74"/>
      <c r="X167" s="74"/>
      <c r="Y167" s="74"/>
      <c r="Z167" s="74"/>
      <c r="AA167" s="74"/>
      <c r="AB167" s="74"/>
      <c r="AC167" s="74"/>
      <c r="AD167" s="74"/>
      <c r="AE167" s="74"/>
      <c r="AF167" s="74"/>
      <c r="AG167" s="74"/>
      <c r="AH167" s="74"/>
      <c r="AI167" s="74"/>
      <c r="AJ167" s="74"/>
      <c r="AK167" s="74"/>
      <c r="AL167" s="74"/>
      <c r="AM167" s="74"/>
      <c r="AN167" s="74"/>
      <c r="AO167" s="74"/>
      <c r="AP167" s="74"/>
      <c r="AQ167" s="74"/>
      <c r="AR167" s="74"/>
      <c r="AS167" s="74"/>
      <c r="AT167" s="74"/>
      <c r="AU167" s="74"/>
      <c r="AV167" s="74"/>
      <c r="AW167" s="74"/>
      <c r="AX167" s="74"/>
      <c r="AY167" s="74"/>
      <c r="AZ167" s="74"/>
      <c r="BA167" s="74"/>
      <c r="BB167" s="74"/>
      <c r="BC167" s="74"/>
      <c r="BD167" s="74"/>
      <c r="BE167" s="74"/>
      <c r="BF167" s="74"/>
      <c r="BG167" s="74"/>
      <c r="BH167" s="74"/>
      <c r="BI167" s="74"/>
      <c r="BJ167" s="74"/>
      <c r="BK167" s="74"/>
      <c r="BL167" s="74"/>
      <c r="BM167" s="74"/>
      <c r="BN167" s="74"/>
      <c r="BO167" s="74"/>
      <c r="BP167" s="74"/>
      <c r="BQ167" s="74"/>
      <c r="BR167" s="74"/>
      <c r="BS167" s="74"/>
      <c r="BT167" s="74"/>
      <c r="BU167" s="74"/>
      <c r="BV167" s="74"/>
      <c r="BW167" s="74"/>
      <c r="BX167" s="74"/>
      <c r="BY167" s="74"/>
      <c r="BZ167" s="75"/>
    </row>
    <row r="168" spans="1:78" x14ac:dyDescent="0.2">
      <c r="A168" s="48"/>
      <c r="B168" s="44"/>
      <c r="C168" s="82"/>
      <c r="D168" s="82"/>
      <c r="E168" s="61"/>
      <c r="F168" s="73"/>
      <c r="G168" s="74"/>
      <c r="H168" s="74"/>
      <c r="I168" s="74"/>
      <c r="J168" s="74"/>
      <c r="K168" s="74"/>
      <c r="L168" s="74"/>
      <c r="M168" s="74"/>
      <c r="N168" s="74"/>
      <c r="O168" s="74"/>
      <c r="P168" s="74"/>
      <c r="Q168" s="74"/>
      <c r="R168" s="74"/>
      <c r="S168" s="74"/>
      <c r="T168" s="74"/>
      <c r="U168" s="74"/>
      <c r="V168" s="74"/>
      <c r="W168" s="74"/>
      <c r="X168" s="74"/>
      <c r="Y168" s="74"/>
      <c r="Z168" s="74"/>
      <c r="AA168" s="74"/>
      <c r="AB168" s="74"/>
      <c r="AC168" s="74"/>
      <c r="AD168" s="74"/>
      <c r="AE168" s="74"/>
      <c r="AF168" s="74"/>
      <c r="AG168" s="74"/>
      <c r="AH168" s="74"/>
      <c r="AI168" s="74"/>
      <c r="AJ168" s="74"/>
      <c r="AK168" s="74"/>
      <c r="AL168" s="74"/>
      <c r="AM168" s="74"/>
      <c r="AN168" s="74"/>
      <c r="AO168" s="74"/>
      <c r="AP168" s="74"/>
      <c r="AQ168" s="74"/>
      <c r="AR168" s="74"/>
      <c r="AS168" s="74"/>
      <c r="AT168" s="74"/>
      <c r="AU168" s="74"/>
      <c r="AV168" s="74"/>
      <c r="AW168" s="74"/>
      <c r="AX168" s="74"/>
      <c r="AY168" s="74"/>
      <c r="AZ168" s="74"/>
      <c r="BA168" s="74"/>
      <c r="BB168" s="74"/>
      <c r="BC168" s="74"/>
      <c r="BD168" s="74"/>
      <c r="BE168" s="74"/>
      <c r="BF168" s="74"/>
      <c r="BG168" s="74"/>
      <c r="BH168" s="74"/>
      <c r="BI168" s="74"/>
      <c r="BJ168" s="74"/>
      <c r="BK168" s="74"/>
      <c r="BL168" s="74"/>
      <c r="BM168" s="74"/>
      <c r="BN168" s="74"/>
      <c r="BO168" s="74"/>
      <c r="BP168" s="74"/>
      <c r="BQ168" s="74"/>
      <c r="BR168" s="74"/>
      <c r="BS168" s="74"/>
      <c r="BT168" s="74"/>
      <c r="BU168" s="74"/>
      <c r="BV168" s="74"/>
      <c r="BW168" s="74"/>
      <c r="BX168" s="74"/>
      <c r="BY168" s="74"/>
      <c r="BZ168" s="75"/>
    </row>
    <row r="169" spans="1:78" x14ac:dyDescent="0.2">
      <c r="A169" s="48"/>
      <c r="B169" s="44"/>
      <c r="C169" s="82"/>
      <c r="D169" s="82"/>
      <c r="E169" s="61"/>
      <c r="F169" s="73"/>
      <c r="G169" s="74"/>
      <c r="H169" s="74"/>
      <c r="I169" s="74"/>
      <c r="J169" s="74"/>
      <c r="K169" s="74"/>
      <c r="L169" s="74"/>
      <c r="M169" s="74"/>
      <c r="N169" s="74"/>
      <c r="O169" s="74"/>
      <c r="P169" s="74"/>
      <c r="Q169" s="74"/>
      <c r="R169" s="74"/>
      <c r="S169" s="74"/>
      <c r="T169" s="74"/>
      <c r="U169" s="74"/>
      <c r="V169" s="74"/>
      <c r="W169" s="74"/>
      <c r="X169" s="74"/>
      <c r="Y169" s="74"/>
      <c r="Z169" s="74"/>
      <c r="AA169" s="74"/>
      <c r="AB169" s="74"/>
      <c r="AC169" s="74"/>
      <c r="AD169" s="74"/>
      <c r="AE169" s="74"/>
      <c r="AF169" s="74"/>
      <c r="AG169" s="74"/>
      <c r="AH169" s="74"/>
      <c r="AI169" s="74"/>
      <c r="AJ169" s="74"/>
      <c r="AK169" s="74"/>
      <c r="AL169" s="74"/>
      <c r="AM169" s="74"/>
      <c r="AN169" s="74"/>
      <c r="AO169" s="74"/>
      <c r="AP169" s="74"/>
      <c r="AQ169" s="74"/>
      <c r="AR169" s="74"/>
      <c r="AS169" s="74"/>
      <c r="AT169" s="74"/>
      <c r="AU169" s="74"/>
      <c r="AV169" s="74"/>
      <c r="AW169" s="74"/>
      <c r="AX169" s="74"/>
      <c r="AY169" s="74"/>
      <c r="AZ169" s="74"/>
      <c r="BA169" s="74"/>
      <c r="BB169" s="74"/>
      <c r="BC169" s="74"/>
      <c r="BD169" s="74"/>
      <c r="BE169" s="74"/>
      <c r="BF169" s="74"/>
      <c r="BG169" s="74"/>
      <c r="BH169" s="74"/>
      <c r="BI169" s="74"/>
      <c r="BJ169" s="74"/>
      <c r="BK169" s="74"/>
      <c r="BL169" s="74"/>
      <c r="BM169" s="74"/>
      <c r="BN169" s="74"/>
      <c r="BO169" s="74"/>
      <c r="BP169" s="74"/>
      <c r="BQ169" s="74"/>
      <c r="BR169" s="74"/>
      <c r="BS169" s="74"/>
      <c r="BT169" s="74"/>
      <c r="BU169" s="74"/>
      <c r="BV169" s="74"/>
      <c r="BW169" s="74"/>
      <c r="BX169" s="74"/>
      <c r="BY169" s="74"/>
      <c r="BZ169" s="75"/>
    </row>
    <row r="170" spans="1:78" x14ac:dyDescent="0.2">
      <c r="A170" s="48"/>
      <c r="B170" s="44"/>
      <c r="C170" s="82"/>
      <c r="D170" s="82"/>
      <c r="E170" s="61"/>
      <c r="F170" s="73"/>
      <c r="G170" s="74"/>
      <c r="H170" s="74"/>
      <c r="I170" s="74"/>
      <c r="J170" s="74"/>
      <c r="K170" s="74"/>
      <c r="L170" s="74"/>
      <c r="M170" s="74"/>
      <c r="N170" s="74"/>
      <c r="O170" s="74"/>
      <c r="P170" s="74"/>
      <c r="Q170" s="74"/>
      <c r="R170" s="74"/>
      <c r="S170" s="74"/>
      <c r="T170" s="74"/>
      <c r="U170" s="74"/>
      <c r="V170" s="74"/>
      <c r="W170" s="74"/>
      <c r="X170" s="74"/>
      <c r="Y170" s="74"/>
      <c r="Z170" s="74"/>
      <c r="AA170" s="74"/>
      <c r="AB170" s="74"/>
      <c r="AC170" s="74"/>
      <c r="AD170" s="74"/>
      <c r="AE170" s="74"/>
      <c r="AF170" s="74"/>
      <c r="AG170" s="74"/>
      <c r="AH170" s="74"/>
      <c r="AI170" s="74"/>
      <c r="AJ170" s="74"/>
      <c r="AK170" s="74"/>
      <c r="AL170" s="74"/>
      <c r="AM170" s="74"/>
      <c r="AN170" s="74"/>
      <c r="AO170" s="74"/>
      <c r="AP170" s="74"/>
      <c r="AQ170" s="74"/>
      <c r="AR170" s="74"/>
      <c r="AS170" s="74"/>
      <c r="AT170" s="74"/>
      <c r="AU170" s="74"/>
      <c r="AV170" s="74"/>
      <c r="AW170" s="74"/>
      <c r="AX170" s="74"/>
      <c r="AY170" s="74"/>
      <c r="AZ170" s="74"/>
      <c r="BA170" s="74"/>
      <c r="BB170" s="74"/>
      <c r="BC170" s="74"/>
      <c r="BD170" s="74"/>
      <c r="BE170" s="74"/>
      <c r="BF170" s="74"/>
      <c r="BG170" s="74"/>
      <c r="BH170" s="74"/>
      <c r="BI170" s="74"/>
      <c r="BJ170" s="74"/>
      <c r="BK170" s="74"/>
      <c r="BL170" s="74"/>
      <c r="BM170" s="74"/>
      <c r="BN170" s="74"/>
      <c r="BO170" s="74"/>
      <c r="BP170" s="74"/>
      <c r="BQ170" s="74"/>
      <c r="BR170" s="74"/>
      <c r="BS170" s="74"/>
      <c r="BT170" s="74"/>
      <c r="BU170" s="74"/>
      <c r="BV170" s="74"/>
      <c r="BW170" s="74"/>
      <c r="BX170" s="74"/>
      <c r="BY170" s="74"/>
      <c r="BZ170" s="75"/>
    </row>
    <row r="171" spans="1:78" x14ac:dyDescent="0.2">
      <c r="A171" s="48"/>
      <c r="B171" s="44"/>
      <c r="C171" s="82"/>
      <c r="D171" s="82"/>
      <c r="E171" s="61"/>
      <c r="F171" s="73"/>
      <c r="G171" s="74"/>
      <c r="H171" s="74"/>
      <c r="I171" s="74"/>
      <c r="J171" s="74"/>
      <c r="K171" s="74"/>
      <c r="L171" s="74"/>
      <c r="M171" s="74"/>
      <c r="N171" s="74"/>
      <c r="O171" s="74"/>
      <c r="P171" s="74"/>
      <c r="Q171" s="74"/>
      <c r="R171" s="74"/>
      <c r="S171" s="74"/>
      <c r="T171" s="74"/>
      <c r="U171" s="74"/>
      <c r="V171" s="74"/>
      <c r="W171" s="74"/>
      <c r="X171" s="74"/>
      <c r="Y171" s="74"/>
      <c r="Z171" s="74"/>
      <c r="AA171" s="74"/>
      <c r="AB171" s="74"/>
      <c r="AC171" s="74"/>
      <c r="AD171" s="74"/>
      <c r="AE171" s="74"/>
      <c r="AF171" s="74"/>
      <c r="AG171" s="74"/>
      <c r="AH171" s="74"/>
      <c r="AI171" s="74"/>
      <c r="AJ171" s="74"/>
      <c r="AK171" s="74"/>
      <c r="AL171" s="74"/>
      <c r="AM171" s="74"/>
      <c r="AN171" s="74"/>
      <c r="AO171" s="74"/>
      <c r="AP171" s="74"/>
      <c r="AQ171" s="74"/>
      <c r="AR171" s="74"/>
      <c r="AS171" s="74"/>
      <c r="AT171" s="74"/>
      <c r="AU171" s="74"/>
      <c r="AV171" s="74"/>
      <c r="AW171" s="74"/>
      <c r="AX171" s="74"/>
      <c r="AY171" s="74"/>
      <c r="AZ171" s="74"/>
      <c r="BA171" s="74"/>
      <c r="BB171" s="74"/>
      <c r="BC171" s="74"/>
      <c r="BD171" s="74"/>
      <c r="BE171" s="74"/>
      <c r="BF171" s="74"/>
      <c r="BG171" s="74"/>
      <c r="BH171" s="74"/>
      <c r="BI171" s="74"/>
      <c r="BJ171" s="74"/>
      <c r="BK171" s="74"/>
      <c r="BL171" s="74"/>
      <c r="BM171" s="74"/>
      <c r="BN171" s="74"/>
      <c r="BO171" s="74"/>
      <c r="BP171" s="74"/>
      <c r="BQ171" s="74"/>
      <c r="BR171" s="74"/>
      <c r="BS171" s="74"/>
      <c r="BT171" s="74"/>
      <c r="BU171" s="74"/>
      <c r="BV171" s="74"/>
      <c r="BW171" s="74"/>
      <c r="BX171" s="74"/>
      <c r="BY171" s="74"/>
      <c r="BZ171" s="75"/>
    </row>
    <row r="172" spans="1:78" x14ac:dyDescent="0.2">
      <c r="A172" s="48"/>
      <c r="B172" s="44"/>
      <c r="C172" s="82"/>
      <c r="D172" s="82"/>
      <c r="E172" s="61"/>
      <c r="F172" s="73"/>
      <c r="G172" s="74"/>
      <c r="H172" s="74"/>
      <c r="I172" s="74"/>
      <c r="J172" s="74"/>
      <c r="K172" s="74"/>
      <c r="L172" s="74"/>
      <c r="M172" s="74"/>
      <c r="N172" s="74"/>
      <c r="O172" s="74"/>
      <c r="P172" s="74"/>
      <c r="Q172" s="74"/>
      <c r="R172" s="74"/>
      <c r="S172" s="74"/>
      <c r="T172" s="74"/>
      <c r="U172" s="74"/>
      <c r="V172" s="74"/>
      <c r="W172" s="74"/>
      <c r="X172" s="74"/>
      <c r="Y172" s="74"/>
      <c r="Z172" s="74"/>
      <c r="AA172" s="74"/>
      <c r="AB172" s="74"/>
      <c r="AC172" s="74"/>
      <c r="AD172" s="74"/>
      <c r="AE172" s="74"/>
      <c r="AF172" s="74"/>
      <c r="AG172" s="74"/>
      <c r="AH172" s="74"/>
      <c r="AI172" s="74"/>
      <c r="AJ172" s="74"/>
      <c r="AK172" s="74"/>
      <c r="AL172" s="74"/>
      <c r="AM172" s="74"/>
      <c r="AN172" s="74"/>
      <c r="AO172" s="74"/>
      <c r="AP172" s="74"/>
      <c r="AQ172" s="74"/>
      <c r="AR172" s="74"/>
      <c r="AS172" s="74"/>
      <c r="AT172" s="74"/>
      <c r="AU172" s="74"/>
      <c r="AV172" s="74"/>
      <c r="AW172" s="74"/>
      <c r="AX172" s="74"/>
      <c r="AY172" s="74"/>
      <c r="AZ172" s="74"/>
      <c r="BA172" s="74"/>
      <c r="BB172" s="74"/>
      <c r="BC172" s="74"/>
      <c r="BD172" s="74"/>
      <c r="BE172" s="74"/>
      <c r="BF172" s="74"/>
      <c r="BG172" s="74"/>
      <c r="BH172" s="74"/>
      <c r="BI172" s="74"/>
      <c r="BJ172" s="74"/>
      <c r="BK172" s="74"/>
      <c r="BL172" s="74"/>
      <c r="BM172" s="74"/>
      <c r="BN172" s="74"/>
      <c r="BO172" s="74"/>
      <c r="BP172" s="74"/>
      <c r="BQ172" s="74"/>
      <c r="BR172" s="74"/>
      <c r="BS172" s="74"/>
      <c r="BT172" s="74"/>
      <c r="BU172" s="74"/>
      <c r="BV172" s="74"/>
      <c r="BW172" s="74"/>
      <c r="BX172" s="74"/>
      <c r="BY172" s="74"/>
      <c r="BZ172" s="75"/>
    </row>
    <row r="173" spans="1:78" x14ac:dyDescent="0.2">
      <c r="A173" s="48"/>
      <c r="B173" s="44"/>
      <c r="C173" s="82"/>
      <c r="D173" s="82"/>
      <c r="E173" s="61"/>
      <c r="F173" s="73"/>
      <c r="G173" s="74"/>
      <c r="H173" s="74"/>
      <c r="I173" s="74"/>
      <c r="J173" s="74"/>
      <c r="K173" s="74"/>
      <c r="L173" s="74"/>
      <c r="M173" s="74"/>
      <c r="N173" s="74"/>
      <c r="O173" s="74"/>
      <c r="P173" s="74"/>
      <c r="Q173" s="74"/>
      <c r="R173" s="74"/>
      <c r="S173" s="74"/>
      <c r="T173" s="74"/>
      <c r="U173" s="74"/>
      <c r="V173" s="74"/>
      <c r="W173" s="74"/>
      <c r="X173" s="74"/>
      <c r="Y173" s="74"/>
      <c r="Z173" s="74"/>
      <c r="AA173" s="74"/>
      <c r="AB173" s="74"/>
      <c r="AC173" s="74"/>
      <c r="AD173" s="74"/>
      <c r="AE173" s="74"/>
      <c r="AF173" s="74"/>
      <c r="AG173" s="74"/>
      <c r="AH173" s="74"/>
      <c r="AI173" s="74"/>
      <c r="AJ173" s="74"/>
      <c r="AK173" s="74"/>
      <c r="AL173" s="74"/>
      <c r="AM173" s="74"/>
      <c r="AN173" s="74"/>
      <c r="AO173" s="74"/>
      <c r="AP173" s="74"/>
      <c r="AQ173" s="74"/>
      <c r="AR173" s="74"/>
      <c r="AS173" s="74"/>
      <c r="AT173" s="74"/>
      <c r="AU173" s="74"/>
      <c r="AV173" s="74"/>
      <c r="AW173" s="74"/>
      <c r="AX173" s="74"/>
      <c r="AY173" s="74"/>
      <c r="AZ173" s="74"/>
      <c r="BA173" s="74"/>
      <c r="BB173" s="74"/>
      <c r="BC173" s="74"/>
      <c r="BD173" s="74"/>
      <c r="BE173" s="74"/>
      <c r="BF173" s="74"/>
      <c r="BG173" s="74"/>
      <c r="BH173" s="74"/>
      <c r="BI173" s="74"/>
      <c r="BJ173" s="74"/>
      <c r="BK173" s="74"/>
      <c r="BL173" s="74"/>
      <c r="BM173" s="74"/>
      <c r="BN173" s="74"/>
      <c r="BO173" s="74"/>
      <c r="BP173" s="74"/>
      <c r="BQ173" s="74"/>
      <c r="BR173" s="74"/>
      <c r="BS173" s="74"/>
      <c r="BT173" s="74"/>
      <c r="BU173" s="74"/>
      <c r="BV173" s="74"/>
      <c r="BW173" s="74"/>
      <c r="BX173" s="74"/>
      <c r="BY173" s="74"/>
      <c r="BZ173" s="75"/>
    </row>
    <row r="174" spans="1:78" x14ac:dyDescent="0.2">
      <c r="A174" s="48"/>
      <c r="B174" s="44"/>
      <c r="C174" s="82"/>
      <c r="D174" s="82"/>
      <c r="E174" s="61"/>
      <c r="F174" s="73"/>
      <c r="G174" s="74"/>
      <c r="H174" s="74"/>
      <c r="I174" s="74"/>
      <c r="J174" s="74"/>
      <c r="K174" s="74"/>
      <c r="L174" s="74"/>
      <c r="M174" s="74"/>
      <c r="N174" s="74"/>
      <c r="O174" s="74"/>
      <c r="P174" s="74"/>
      <c r="Q174" s="74"/>
      <c r="R174" s="74"/>
      <c r="S174" s="74"/>
      <c r="T174" s="74"/>
      <c r="U174" s="74"/>
      <c r="V174" s="74"/>
      <c r="W174" s="74"/>
      <c r="X174" s="74"/>
      <c r="Y174" s="74"/>
      <c r="Z174" s="74"/>
      <c r="AA174" s="74"/>
      <c r="AB174" s="74"/>
      <c r="AC174" s="74"/>
      <c r="AD174" s="74"/>
      <c r="AE174" s="74"/>
      <c r="AF174" s="74"/>
      <c r="AG174" s="74"/>
      <c r="AH174" s="74"/>
      <c r="AI174" s="74"/>
      <c r="AJ174" s="74"/>
      <c r="AK174" s="74"/>
      <c r="AL174" s="74"/>
      <c r="AM174" s="74"/>
      <c r="AN174" s="74"/>
      <c r="AO174" s="74"/>
      <c r="AP174" s="74"/>
      <c r="AQ174" s="74"/>
      <c r="AR174" s="74"/>
      <c r="AS174" s="74"/>
      <c r="AT174" s="74"/>
      <c r="AU174" s="74"/>
      <c r="AV174" s="74"/>
      <c r="AW174" s="74"/>
      <c r="AX174" s="74"/>
      <c r="AY174" s="74"/>
      <c r="AZ174" s="74"/>
      <c r="BA174" s="74"/>
      <c r="BB174" s="74"/>
      <c r="BC174" s="74"/>
      <c r="BD174" s="74"/>
      <c r="BE174" s="74"/>
      <c r="BF174" s="74"/>
      <c r="BG174" s="74"/>
      <c r="BH174" s="74"/>
      <c r="BI174" s="74"/>
      <c r="BJ174" s="74"/>
      <c r="BK174" s="74"/>
      <c r="BL174" s="74"/>
      <c r="BM174" s="74"/>
      <c r="BN174" s="74"/>
      <c r="BO174" s="74"/>
      <c r="BP174" s="74"/>
      <c r="BQ174" s="74"/>
      <c r="BR174" s="74"/>
      <c r="BS174" s="74"/>
      <c r="BT174" s="74"/>
      <c r="BU174" s="74"/>
      <c r="BV174" s="74"/>
      <c r="BW174" s="74"/>
      <c r="BX174" s="74"/>
      <c r="BY174" s="74"/>
      <c r="BZ174" s="75"/>
    </row>
    <row r="175" spans="1:78" x14ac:dyDescent="0.2">
      <c r="A175" s="48"/>
      <c r="B175" s="44"/>
      <c r="C175" s="82"/>
      <c r="D175" s="82"/>
      <c r="E175" s="61"/>
      <c r="F175" s="73"/>
      <c r="G175" s="74"/>
      <c r="H175" s="74"/>
      <c r="I175" s="74"/>
      <c r="J175" s="74"/>
      <c r="K175" s="74"/>
      <c r="L175" s="74"/>
      <c r="M175" s="74"/>
      <c r="N175" s="74"/>
      <c r="O175" s="74"/>
      <c r="P175" s="74"/>
      <c r="Q175" s="74"/>
      <c r="R175" s="74"/>
      <c r="S175" s="74"/>
      <c r="T175" s="74"/>
      <c r="U175" s="74"/>
      <c r="V175" s="74"/>
      <c r="W175" s="74"/>
      <c r="X175" s="74"/>
      <c r="Y175" s="74"/>
      <c r="Z175" s="74"/>
      <c r="AA175" s="74"/>
      <c r="AB175" s="74"/>
      <c r="AC175" s="74"/>
      <c r="AD175" s="74"/>
      <c r="AE175" s="74"/>
      <c r="AF175" s="74"/>
      <c r="AG175" s="74"/>
      <c r="AH175" s="74"/>
      <c r="AI175" s="74"/>
      <c r="AJ175" s="74"/>
      <c r="AK175" s="74"/>
      <c r="AL175" s="74"/>
      <c r="AM175" s="74"/>
      <c r="AN175" s="74"/>
      <c r="AO175" s="74"/>
      <c r="AP175" s="74"/>
      <c r="AQ175" s="74"/>
      <c r="AR175" s="74"/>
      <c r="AS175" s="74"/>
      <c r="AT175" s="74"/>
      <c r="AU175" s="74"/>
      <c r="AV175" s="74"/>
      <c r="AW175" s="74"/>
      <c r="AX175" s="74"/>
      <c r="AY175" s="74"/>
      <c r="AZ175" s="74"/>
      <c r="BA175" s="74"/>
      <c r="BB175" s="74"/>
      <c r="BC175" s="74"/>
      <c r="BD175" s="74"/>
      <c r="BE175" s="74"/>
      <c r="BF175" s="74"/>
      <c r="BG175" s="74"/>
      <c r="BH175" s="74"/>
      <c r="BI175" s="74"/>
      <c r="BJ175" s="74"/>
      <c r="BK175" s="74"/>
      <c r="BL175" s="74"/>
      <c r="BM175" s="74"/>
      <c r="BN175" s="74"/>
      <c r="BO175" s="74"/>
      <c r="BP175" s="74"/>
      <c r="BQ175" s="74"/>
      <c r="BR175" s="74"/>
      <c r="BS175" s="74"/>
      <c r="BT175" s="74"/>
      <c r="BU175" s="74"/>
      <c r="BV175" s="74"/>
      <c r="BW175" s="74"/>
      <c r="BX175" s="74"/>
      <c r="BY175" s="74"/>
      <c r="BZ175" s="75"/>
    </row>
    <row r="176" spans="1:78" x14ac:dyDescent="0.2">
      <c r="A176" s="48"/>
      <c r="B176" s="44"/>
      <c r="C176" s="82"/>
      <c r="D176" s="82"/>
      <c r="E176" s="61"/>
      <c r="F176" s="73"/>
      <c r="G176" s="74"/>
      <c r="H176" s="74"/>
      <c r="I176" s="74"/>
      <c r="J176" s="74"/>
      <c r="K176" s="74"/>
      <c r="L176" s="74"/>
      <c r="M176" s="74"/>
      <c r="N176" s="74"/>
      <c r="O176" s="74"/>
      <c r="P176" s="74"/>
      <c r="Q176" s="74"/>
      <c r="R176" s="74"/>
      <c r="S176" s="74"/>
      <c r="T176" s="74"/>
      <c r="U176" s="74"/>
      <c r="V176" s="74"/>
      <c r="W176" s="74"/>
      <c r="X176" s="74"/>
      <c r="Y176" s="74"/>
      <c r="Z176" s="74"/>
      <c r="AA176" s="74"/>
      <c r="AB176" s="74"/>
      <c r="AC176" s="74"/>
      <c r="AD176" s="74"/>
      <c r="AE176" s="74"/>
      <c r="AF176" s="74"/>
      <c r="AG176" s="74"/>
      <c r="AH176" s="74"/>
      <c r="AI176" s="74"/>
      <c r="AJ176" s="74"/>
      <c r="AK176" s="74"/>
      <c r="AL176" s="74"/>
      <c r="AM176" s="74"/>
      <c r="AN176" s="74"/>
      <c r="AO176" s="74"/>
      <c r="AP176" s="74"/>
      <c r="AQ176" s="74"/>
      <c r="AR176" s="74"/>
      <c r="AS176" s="74"/>
      <c r="AT176" s="74"/>
      <c r="AU176" s="74"/>
      <c r="AV176" s="74"/>
      <c r="AW176" s="74"/>
      <c r="AX176" s="74"/>
      <c r="AY176" s="74"/>
      <c r="AZ176" s="74"/>
      <c r="BA176" s="74"/>
      <c r="BB176" s="74"/>
      <c r="BC176" s="74"/>
      <c r="BD176" s="74"/>
      <c r="BE176" s="74"/>
      <c r="BF176" s="74"/>
      <c r="BG176" s="74"/>
      <c r="BH176" s="74"/>
      <c r="BI176" s="74"/>
      <c r="BJ176" s="74"/>
      <c r="BK176" s="74"/>
      <c r="BL176" s="74"/>
      <c r="BM176" s="74"/>
      <c r="BN176" s="74"/>
      <c r="BO176" s="74"/>
      <c r="BP176" s="74"/>
      <c r="BQ176" s="74"/>
      <c r="BR176" s="74"/>
      <c r="BS176" s="74"/>
      <c r="BT176" s="74"/>
      <c r="BU176" s="74"/>
      <c r="BV176" s="74"/>
      <c r="BW176" s="74"/>
      <c r="BX176" s="74"/>
      <c r="BY176" s="74"/>
      <c r="BZ176" s="75"/>
    </row>
    <row r="177" spans="1:78" x14ac:dyDescent="0.2">
      <c r="A177" s="48"/>
      <c r="B177" s="44"/>
      <c r="C177" s="82"/>
      <c r="D177" s="82"/>
      <c r="E177" s="61"/>
      <c r="F177" s="73"/>
      <c r="G177" s="74"/>
      <c r="H177" s="74"/>
      <c r="I177" s="74"/>
      <c r="J177" s="74"/>
      <c r="K177" s="74"/>
      <c r="L177" s="74"/>
      <c r="M177" s="74"/>
      <c r="N177" s="74"/>
      <c r="O177" s="74"/>
      <c r="P177" s="74"/>
      <c r="Q177" s="74"/>
      <c r="R177" s="74"/>
      <c r="S177" s="74"/>
      <c r="T177" s="74"/>
      <c r="U177" s="74"/>
      <c r="V177" s="74"/>
      <c r="W177" s="74"/>
      <c r="X177" s="74"/>
      <c r="Y177" s="74"/>
      <c r="Z177" s="74"/>
      <c r="AA177" s="74"/>
      <c r="AB177" s="74"/>
      <c r="AC177" s="74"/>
      <c r="AD177" s="74"/>
      <c r="AE177" s="74"/>
      <c r="AF177" s="74"/>
      <c r="AG177" s="74"/>
      <c r="AH177" s="74"/>
      <c r="AI177" s="74"/>
      <c r="AJ177" s="74"/>
      <c r="AK177" s="74"/>
      <c r="AL177" s="74"/>
      <c r="AM177" s="74"/>
      <c r="AN177" s="74"/>
      <c r="AO177" s="74"/>
      <c r="AP177" s="74"/>
      <c r="AQ177" s="74"/>
      <c r="AR177" s="74"/>
      <c r="AS177" s="74"/>
      <c r="AT177" s="74"/>
      <c r="AU177" s="74"/>
      <c r="AV177" s="74"/>
      <c r="AW177" s="74"/>
      <c r="AX177" s="74"/>
      <c r="AY177" s="74"/>
      <c r="AZ177" s="74"/>
      <c r="BA177" s="74"/>
      <c r="BB177" s="74"/>
      <c r="BC177" s="74"/>
      <c r="BD177" s="74"/>
      <c r="BE177" s="74"/>
      <c r="BF177" s="74"/>
      <c r="BG177" s="74"/>
      <c r="BH177" s="74"/>
      <c r="BI177" s="74"/>
      <c r="BJ177" s="74"/>
      <c r="BK177" s="74"/>
      <c r="BL177" s="74"/>
      <c r="BM177" s="74"/>
      <c r="BN177" s="74"/>
      <c r="BO177" s="74"/>
      <c r="BP177" s="74"/>
      <c r="BQ177" s="74"/>
      <c r="BR177" s="74"/>
      <c r="BS177" s="74"/>
      <c r="BT177" s="74"/>
      <c r="BU177" s="74"/>
      <c r="BV177" s="74"/>
      <c r="BW177" s="74"/>
      <c r="BX177" s="74"/>
      <c r="BY177" s="74"/>
      <c r="BZ177" s="75"/>
    </row>
    <row r="178" spans="1:78" x14ac:dyDescent="0.2">
      <c r="A178" s="48"/>
      <c r="B178" s="44"/>
      <c r="C178" s="82"/>
      <c r="D178" s="82"/>
      <c r="E178" s="61"/>
      <c r="F178" s="73"/>
      <c r="G178" s="74"/>
      <c r="H178" s="74"/>
      <c r="I178" s="74"/>
      <c r="J178" s="74"/>
      <c r="K178" s="74"/>
      <c r="L178" s="74"/>
      <c r="M178" s="74"/>
      <c r="N178" s="74"/>
      <c r="O178" s="74"/>
      <c r="P178" s="74"/>
      <c r="Q178" s="74"/>
      <c r="R178" s="74"/>
      <c r="S178" s="74"/>
      <c r="T178" s="74"/>
      <c r="U178" s="74"/>
      <c r="V178" s="74"/>
      <c r="W178" s="74"/>
      <c r="X178" s="74"/>
      <c r="Y178" s="74"/>
      <c r="Z178" s="74"/>
      <c r="AA178" s="74"/>
      <c r="AB178" s="74"/>
      <c r="AC178" s="74"/>
      <c r="AD178" s="74"/>
      <c r="AE178" s="74"/>
      <c r="AF178" s="74"/>
      <c r="AG178" s="74"/>
      <c r="AH178" s="74"/>
      <c r="AI178" s="74"/>
      <c r="AJ178" s="74"/>
      <c r="AK178" s="74"/>
      <c r="AL178" s="74"/>
      <c r="AM178" s="74"/>
      <c r="AN178" s="74"/>
      <c r="AO178" s="74"/>
      <c r="AP178" s="74"/>
      <c r="AQ178" s="74"/>
      <c r="AR178" s="74"/>
      <c r="AS178" s="74"/>
      <c r="AT178" s="74"/>
      <c r="AU178" s="74"/>
      <c r="AV178" s="74"/>
      <c r="AW178" s="74"/>
      <c r="AX178" s="74"/>
      <c r="AY178" s="74"/>
      <c r="AZ178" s="74"/>
      <c r="BA178" s="74"/>
      <c r="BB178" s="74"/>
      <c r="BC178" s="74"/>
      <c r="BD178" s="74"/>
      <c r="BE178" s="74"/>
      <c r="BF178" s="74"/>
      <c r="BG178" s="74"/>
      <c r="BH178" s="74"/>
      <c r="BI178" s="74"/>
      <c r="BJ178" s="74"/>
      <c r="BK178" s="74"/>
      <c r="BL178" s="74"/>
      <c r="BM178" s="74"/>
      <c r="BN178" s="74"/>
      <c r="BO178" s="74"/>
      <c r="BP178" s="74"/>
      <c r="BQ178" s="74"/>
      <c r="BR178" s="74"/>
      <c r="BS178" s="74"/>
      <c r="BT178" s="74"/>
      <c r="BU178" s="74"/>
      <c r="BV178" s="74"/>
      <c r="BW178" s="74"/>
      <c r="BX178" s="74"/>
      <c r="BY178" s="74"/>
      <c r="BZ178" s="75"/>
    </row>
    <row r="179" spans="1:78" x14ac:dyDescent="0.2">
      <c r="A179" s="48"/>
      <c r="B179" s="44"/>
      <c r="C179" s="82"/>
      <c r="D179" s="82"/>
      <c r="E179" s="61"/>
      <c r="F179" s="73"/>
      <c r="G179" s="74"/>
      <c r="H179" s="74"/>
      <c r="I179" s="74"/>
      <c r="J179" s="74"/>
      <c r="K179" s="74"/>
      <c r="L179" s="74"/>
      <c r="M179" s="74"/>
      <c r="N179" s="74"/>
      <c r="O179" s="74"/>
      <c r="P179" s="74"/>
      <c r="Q179" s="74"/>
      <c r="R179" s="74"/>
      <c r="S179" s="74"/>
      <c r="T179" s="74"/>
      <c r="U179" s="74"/>
      <c r="V179" s="74"/>
      <c r="W179" s="74"/>
      <c r="X179" s="74"/>
      <c r="Y179" s="74"/>
      <c r="Z179" s="74"/>
      <c r="AA179" s="74"/>
      <c r="AB179" s="74"/>
      <c r="AC179" s="74"/>
      <c r="AD179" s="74"/>
      <c r="AE179" s="74"/>
      <c r="AF179" s="74"/>
      <c r="AG179" s="74"/>
      <c r="AH179" s="74"/>
      <c r="AI179" s="74"/>
      <c r="AJ179" s="74"/>
      <c r="AK179" s="74"/>
      <c r="AL179" s="74"/>
      <c r="AM179" s="74"/>
      <c r="AN179" s="74"/>
      <c r="AO179" s="74"/>
      <c r="AP179" s="74"/>
      <c r="AQ179" s="74"/>
      <c r="AR179" s="74"/>
      <c r="AS179" s="74"/>
      <c r="AT179" s="74"/>
      <c r="AU179" s="74"/>
      <c r="AV179" s="74"/>
      <c r="AW179" s="74"/>
      <c r="AX179" s="74"/>
      <c r="AY179" s="74"/>
      <c r="AZ179" s="74"/>
      <c r="BA179" s="74"/>
      <c r="BB179" s="74"/>
      <c r="BC179" s="74"/>
      <c r="BD179" s="74"/>
      <c r="BE179" s="74"/>
      <c r="BF179" s="74"/>
      <c r="BG179" s="74"/>
      <c r="BH179" s="74"/>
      <c r="BI179" s="74"/>
      <c r="BJ179" s="74"/>
      <c r="BK179" s="74"/>
      <c r="BL179" s="74"/>
      <c r="BM179" s="74"/>
      <c r="BN179" s="74"/>
      <c r="BO179" s="74"/>
      <c r="BP179" s="74"/>
      <c r="BQ179" s="74"/>
      <c r="BR179" s="74"/>
      <c r="BS179" s="74"/>
      <c r="BT179" s="74"/>
      <c r="BU179" s="74"/>
      <c r="BV179" s="74"/>
      <c r="BW179" s="74"/>
      <c r="BX179" s="74"/>
      <c r="BY179" s="74"/>
      <c r="BZ179" s="75"/>
    </row>
    <row r="180" spans="1:78" x14ac:dyDescent="0.2">
      <c r="A180" s="48"/>
      <c r="B180" s="44"/>
      <c r="C180" s="82"/>
      <c r="D180" s="82"/>
      <c r="E180" s="61"/>
      <c r="F180" s="73"/>
      <c r="G180" s="74"/>
      <c r="H180" s="74"/>
      <c r="I180" s="74"/>
      <c r="J180" s="74"/>
      <c r="K180" s="74"/>
      <c r="L180" s="74"/>
      <c r="M180" s="74"/>
      <c r="N180" s="74"/>
      <c r="O180" s="74"/>
      <c r="P180" s="74"/>
      <c r="Q180" s="74"/>
      <c r="R180" s="74"/>
      <c r="S180" s="74"/>
      <c r="T180" s="74"/>
      <c r="U180" s="74"/>
      <c r="V180" s="74"/>
      <c r="W180" s="74"/>
      <c r="X180" s="74"/>
      <c r="Y180" s="74"/>
      <c r="Z180" s="74"/>
      <c r="AA180" s="74"/>
      <c r="AB180" s="74"/>
      <c r="AC180" s="74"/>
      <c r="AD180" s="74"/>
      <c r="AE180" s="74"/>
      <c r="AF180" s="74"/>
      <c r="AG180" s="74"/>
      <c r="AH180" s="74"/>
      <c r="AI180" s="74"/>
      <c r="AJ180" s="74"/>
      <c r="AK180" s="74"/>
      <c r="AL180" s="74"/>
      <c r="AM180" s="74"/>
      <c r="AN180" s="74"/>
      <c r="AO180" s="74"/>
      <c r="AP180" s="74"/>
      <c r="AQ180" s="74"/>
      <c r="AR180" s="74"/>
      <c r="AS180" s="74"/>
      <c r="AT180" s="74"/>
      <c r="AU180" s="74"/>
      <c r="AV180" s="74"/>
      <c r="AW180" s="74"/>
      <c r="AX180" s="74"/>
      <c r="AY180" s="74"/>
      <c r="AZ180" s="74"/>
      <c r="BA180" s="74"/>
      <c r="BB180" s="74"/>
      <c r="BC180" s="74"/>
      <c r="BD180" s="74"/>
      <c r="BE180" s="74"/>
      <c r="BF180" s="74"/>
      <c r="BG180" s="74"/>
      <c r="BH180" s="74"/>
      <c r="BI180" s="74"/>
      <c r="BJ180" s="74"/>
      <c r="BK180" s="74"/>
      <c r="BL180" s="74"/>
      <c r="BM180" s="74"/>
      <c r="BN180" s="74"/>
      <c r="BO180" s="74"/>
      <c r="BP180" s="74"/>
      <c r="BQ180" s="74"/>
      <c r="BR180" s="74"/>
      <c r="BS180" s="74"/>
      <c r="BT180" s="74"/>
      <c r="BU180" s="74"/>
      <c r="BV180" s="74"/>
      <c r="BW180" s="74"/>
      <c r="BX180" s="74"/>
      <c r="BY180" s="74"/>
      <c r="BZ180" s="75"/>
    </row>
    <row r="181" spans="1:78" x14ac:dyDescent="0.2">
      <c r="A181" s="48"/>
      <c r="B181" s="44"/>
      <c r="C181" s="82"/>
      <c r="D181" s="82"/>
      <c r="E181" s="61"/>
      <c r="F181" s="73"/>
      <c r="G181" s="74"/>
      <c r="H181" s="74"/>
      <c r="I181" s="74"/>
      <c r="J181" s="74"/>
      <c r="K181" s="74"/>
      <c r="L181" s="74"/>
      <c r="M181" s="74"/>
      <c r="N181" s="74"/>
      <c r="O181" s="74"/>
      <c r="P181" s="74"/>
      <c r="Q181" s="74"/>
      <c r="R181" s="74"/>
      <c r="S181" s="74"/>
      <c r="T181" s="74"/>
      <c r="U181" s="74"/>
      <c r="V181" s="74"/>
      <c r="W181" s="74"/>
      <c r="X181" s="74"/>
      <c r="Y181" s="74"/>
      <c r="Z181" s="74"/>
      <c r="AA181" s="74"/>
      <c r="AB181" s="74"/>
      <c r="AC181" s="74"/>
      <c r="AD181" s="74"/>
      <c r="AE181" s="74"/>
      <c r="AF181" s="74"/>
      <c r="AG181" s="74"/>
      <c r="AH181" s="74"/>
      <c r="AI181" s="74"/>
      <c r="AJ181" s="74"/>
      <c r="AK181" s="74"/>
      <c r="AL181" s="74"/>
      <c r="AM181" s="74"/>
      <c r="AN181" s="74"/>
      <c r="AO181" s="74"/>
      <c r="AP181" s="74"/>
      <c r="AQ181" s="74"/>
      <c r="AR181" s="74"/>
      <c r="AS181" s="74"/>
      <c r="AT181" s="74"/>
      <c r="AU181" s="74"/>
      <c r="AV181" s="74"/>
      <c r="AW181" s="74"/>
      <c r="AX181" s="74"/>
      <c r="AY181" s="74"/>
      <c r="AZ181" s="74"/>
      <c r="BA181" s="74"/>
      <c r="BB181" s="74"/>
      <c r="BC181" s="74"/>
      <c r="BD181" s="74"/>
      <c r="BE181" s="74"/>
      <c r="BF181" s="74"/>
      <c r="BG181" s="74"/>
      <c r="BH181" s="74"/>
      <c r="BI181" s="74"/>
      <c r="BJ181" s="74"/>
      <c r="BK181" s="74"/>
      <c r="BL181" s="74"/>
      <c r="BM181" s="74"/>
      <c r="BN181" s="74"/>
      <c r="BO181" s="74"/>
      <c r="BP181" s="74"/>
      <c r="BQ181" s="74"/>
      <c r="BR181" s="74"/>
      <c r="BS181" s="74"/>
      <c r="BT181" s="74"/>
      <c r="BU181" s="74"/>
      <c r="BV181" s="74"/>
      <c r="BW181" s="74"/>
      <c r="BX181" s="74"/>
      <c r="BY181" s="74"/>
      <c r="BZ181" s="75"/>
    </row>
    <row r="182" spans="1:78" x14ac:dyDescent="0.2">
      <c r="A182" s="48"/>
      <c r="B182" s="44"/>
      <c r="C182" s="82"/>
      <c r="D182" s="82"/>
      <c r="E182" s="61"/>
      <c r="F182" s="73"/>
      <c r="G182" s="74"/>
      <c r="H182" s="74"/>
      <c r="I182" s="74"/>
      <c r="J182" s="74"/>
      <c r="K182" s="74"/>
      <c r="L182" s="74"/>
      <c r="M182" s="74"/>
      <c r="N182" s="74"/>
      <c r="O182" s="74"/>
      <c r="P182" s="74"/>
      <c r="Q182" s="74"/>
      <c r="R182" s="74"/>
      <c r="S182" s="74"/>
      <c r="T182" s="74"/>
      <c r="U182" s="74"/>
      <c r="V182" s="74"/>
      <c r="W182" s="74"/>
      <c r="X182" s="74"/>
      <c r="Y182" s="74"/>
      <c r="Z182" s="74"/>
      <c r="AA182" s="74"/>
      <c r="AB182" s="74"/>
      <c r="AC182" s="74"/>
      <c r="AD182" s="74"/>
      <c r="AE182" s="74"/>
      <c r="AF182" s="74"/>
      <c r="AG182" s="74"/>
      <c r="AH182" s="74"/>
      <c r="AI182" s="74"/>
      <c r="AJ182" s="74"/>
      <c r="AK182" s="74"/>
      <c r="AL182" s="74"/>
      <c r="AM182" s="74"/>
      <c r="AN182" s="74"/>
      <c r="AO182" s="74"/>
      <c r="AP182" s="74"/>
      <c r="AQ182" s="74"/>
      <c r="AR182" s="74"/>
      <c r="AS182" s="74"/>
      <c r="AT182" s="74"/>
      <c r="AU182" s="74"/>
      <c r="AV182" s="74"/>
      <c r="AW182" s="74"/>
      <c r="AX182" s="74"/>
      <c r="AY182" s="74"/>
      <c r="AZ182" s="74"/>
      <c r="BA182" s="74"/>
      <c r="BB182" s="74"/>
      <c r="BC182" s="74"/>
      <c r="BD182" s="74"/>
      <c r="BE182" s="74"/>
      <c r="BF182" s="74"/>
      <c r="BG182" s="74"/>
      <c r="BH182" s="74"/>
      <c r="BI182" s="74"/>
      <c r="BJ182" s="74"/>
      <c r="BK182" s="74"/>
      <c r="BL182" s="74"/>
      <c r="BM182" s="74"/>
      <c r="BN182" s="74"/>
      <c r="BO182" s="74"/>
      <c r="BP182" s="74"/>
      <c r="BQ182" s="74"/>
      <c r="BR182" s="74"/>
      <c r="BS182" s="74"/>
      <c r="BT182" s="74"/>
      <c r="BU182" s="74"/>
      <c r="BV182" s="74"/>
      <c r="BW182" s="74"/>
      <c r="BX182" s="74"/>
      <c r="BY182" s="74"/>
      <c r="BZ182" s="75"/>
    </row>
    <row r="183" spans="1:78" x14ac:dyDescent="0.2">
      <c r="A183" s="48"/>
      <c r="B183" s="44"/>
      <c r="C183" s="82"/>
      <c r="D183" s="82"/>
      <c r="E183" s="61"/>
      <c r="F183" s="73"/>
      <c r="G183" s="74"/>
      <c r="H183" s="74"/>
      <c r="I183" s="74"/>
      <c r="J183" s="74"/>
      <c r="K183" s="74"/>
      <c r="L183" s="74"/>
      <c r="M183" s="74"/>
      <c r="N183" s="74"/>
      <c r="O183" s="74"/>
      <c r="P183" s="74"/>
      <c r="Q183" s="74"/>
      <c r="R183" s="74"/>
      <c r="S183" s="74"/>
      <c r="T183" s="74"/>
      <c r="U183" s="74"/>
      <c r="V183" s="74"/>
      <c r="W183" s="74"/>
      <c r="X183" s="74"/>
      <c r="Y183" s="74"/>
      <c r="Z183" s="74"/>
      <c r="AA183" s="74"/>
      <c r="AB183" s="74"/>
      <c r="AC183" s="74"/>
      <c r="AD183" s="74"/>
      <c r="AE183" s="74"/>
      <c r="AF183" s="74"/>
      <c r="AG183" s="74"/>
      <c r="AH183" s="74"/>
      <c r="AI183" s="74"/>
      <c r="AJ183" s="74"/>
      <c r="AK183" s="74"/>
      <c r="AL183" s="74"/>
      <c r="AM183" s="74"/>
      <c r="AN183" s="74"/>
      <c r="AO183" s="74"/>
      <c r="AP183" s="74"/>
      <c r="AQ183" s="74"/>
      <c r="AR183" s="74"/>
      <c r="AS183" s="74"/>
      <c r="AT183" s="74"/>
      <c r="AU183" s="74"/>
      <c r="AV183" s="74"/>
      <c r="AW183" s="74"/>
      <c r="AX183" s="74"/>
      <c r="AY183" s="74"/>
      <c r="AZ183" s="74"/>
      <c r="BA183" s="74"/>
      <c r="BB183" s="74"/>
      <c r="BC183" s="74"/>
      <c r="BD183" s="74"/>
      <c r="BE183" s="74"/>
      <c r="BF183" s="74"/>
      <c r="BG183" s="74"/>
      <c r="BH183" s="74"/>
      <c r="BI183" s="74"/>
      <c r="BJ183" s="74"/>
      <c r="BK183" s="74"/>
      <c r="BL183" s="74"/>
      <c r="BM183" s="74"/>
      <c r="BN183" s="74"/>
      <c r="BO183" s="74"/>
      <c r="BP183" s="74"/>
      <c r="BQ183" s="74"/>
      <c r="BR183" s="74"/>
      <c r="BS183" s="74"/>
      <c r="BT183" s="74"/>
      <c r="BU183" s="74"/>
      <c r="BV183" s="74"/>
      <c r="BW183" s="74"/>
      <c r="BX183" s="74"/>
      <c r="BY183" s="74"/>
      <c r="BZ183" s="75"/>
    </row>
    <row r="184" spans="1:78" x14ac:dyDescent="0.2">
      <c r="A184" s="48"/>
      <c r="B184" s="44"/>
      <c r="C184" s="82"/>
      <c r="D184" s="82"/>
      <c r="E184" s="61"/>
      <c r="F184" s="49"/>
      <c r="G184" s="50"/>
      <c r="H184" s="50"/>
      <c r="I184" s="50"/>
      <c r="J184" s="50"/>
      <c r="K184" s="50"/>
      <c r="L184" s="50"/>
      <c r="M184" s="50"/>
      <c r="N184" s="50"/>
      <c r="O184" s="50"/>
      <c r="P184" s="50"/>
      <c r="Q184" s="50"/>
      <c r="R184" s="50"/>
      <c r="S184" s="50"/>
      <c r="T184" s="50"/>
      <c r="U184" s="50"/>
      <c r="V184" s="50"/>
      <c r="W184" s="50"/>
      <c r="X184" s="50"/>
      <c r="Y184" s="50"/>
      <c r="Z184" s="50"/>
      <c r="AA184" s="50"/>
      <c r="AB184" s="50"/>
      <c r="AC184" s="50"/>
      <c r="AD184" s="50"/>
      <c r="AE184" s="50"/>
      <c r="AF184" s="50"/>
      <c r="AG184" s="50"/>
      <c r="AH184" s="50"/>
      <c r="AI184" s="50"/>
      <c r="AJ184" s="50"/>
      <c r="AK184" s="50"/>
      <c r="AL184" s="50"/>
      <c r="AM184" s="50"/>
      <c r="AN184" s="50"/>
      <c r="AO184" s="50"/>
      <c r="AP184" s="50"/>
      <c r="AQ184" s="50"/>
      <c r="AR184" s="50"/>
      <c r="AS184" s="50"/>
      <c r="AT184" s="50"/>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c r="BU184" s="50"/>
      <c r="BV184" s="50"/>
      <c r="BW184" s="50"/>
      <c r="BX184" s="50"/>
      <c r="BY184" s="50"/>
      <c r="BZ184" s="51"/>
    </row>
    <row r="185" spans="1:78" x14ac:dyDescent="0.2">
      <c r="A185" s="52"/>
      <c r="B185" s="44"/>
      <c r="C185" s="82"/>
      <c r="D185" s="82"/>
      <c r="E185" s="61"/>
      <c r="F185" s="49"/>
      <c r="G185" s="50"/>
      <c r="H185" s="50"/>
      <c r="I185" s="50"/>
      <c r="J185" s="50"/>
      <c r="K185" s="50"/>
      <c r="L185" s="50"/>
      <c r="M185" s="50"/>
      <c r="N185" s="50"/>
      <c r="O185" s="50"/>
      <c r="P185" s="50"/>
      <c r="Q185" s="50"/>
      <c r="R185" s="50"/>
      <c r="S185" s="50"/>
      <c r="T185" s="50"/>
      <c r="U185" s="50"/>
      <c r="V185" s="50"/>
      <c r="W185" s="50"/>
      <c r="X185" s="50"/>
      <c r="Y185" s="50"/>
      <c r="Z185" s="50"/>
      <c r="AA185" s="50"/>
      <c r="AB185" s="50"/>
      <c r="AC185" s="50"/>
      <c r="AD185" s="50"/>
      <c r="AE185" s="50"/>
      <c r="AF185" s="50"/>
      <c r="AG185" s="50"/>
      <c r="AH185" s="50"/>
      <c r="AI185" s="50"/>
      <c r="AJ185" s="50"/>
      <c r="AK185" s="50"/>
      <c r="AL185" s="50"/>
      <c r="AM185" s="50"/>
      <c r="AN185" s="50"/>
      <c r="AO185" s="50"/>
      <c r="AP185" s="50"/>
      <c r="AQ185" s="50"/>
      <c r="AR185" s="50"/>
      <c r="AS185" s="50"/>
      <c r="AT185" s="50"/>
      <c r="AU185" s="50"/>
      <c r="AV185" s="50"/>
      <c r="AW185" s="50"/>
      <c r="AX185" s="50"/>
      <c r="AY185" s="50"/>
      <c r="AZ185" s="50"/>
      <c r="BA185" s="50"/>
      <c r="BB185" s="50"/>
      <c r="BC185" s="50"/>
      <c r="BD185" s="50"/>
      <c r="BE185" s="50"/>
      <c r="BF185" s="50"/>
      <c r="BG185" s="50"/>
      <c r="BH185" s="50"/>
      <c r="BI185" s="50"/>
      <c r="BJ185" s="50"/>
      <c r="BK185" s="50"/>
      <c r="BL185" s="50"/>
      <c r="BM185" s="50"/>
      <c r="BN185" s="50"/>
      <c r="BO185" s="50"/>
      <c r="BP185" s="50"/>
      <c r="BQ185" s="50"/>
      <c r="BR185" s="50"/>
      <c r="BS185" s="50"/>
      <c r="BT185" s="50"/>
      <c r="BU185" s="50"/>
      <c r="BV185" s="50"/>
      <c r="BW185" s="50"/>
      <c r="BX185" s="50"/>
      <c r="BY185" s="50"/>
      <c r="BZ185" s="51"/>
    </row>
    <row r="186" spans="1:78" x14ac:dyDescent="0.2">
      <c r="A186" s="48"/>
      <c r="B186" s="44"/>
      <c r="C186" s="82"/>
      <c r="D186" s="82"/>
      <c r="E186" s="61"/>
      <c r="F186" s="73"/>
      <c r="G186" s="74"/>
      <c r="H186" s="74"/>
      <c r="I186" s="74"/>
      <c r="J186" s="74"/>
      <c r="K186" s="74"/>
      <c r="L186" s="74"/>
      <c r="M186" s="74"/>
      <c r="N186" s="74"/>
      <c r="O186" s="74"/>
      <c r="P186" s="74"/>
      <c r="Q186" s="74"/>
      <c r="R186" s="74"/>
      <c r="S186" s="74"/>
      <c r="T186" s="74"/>
      <c r="U186" s="74"/>
      <c r="V186" s="74"/>
      <c r="W186" s="74"/>
      <c r="X186" s="74"/>
      <c r="Y186" s="74"/>
      <c r="Z186" s="74"/>
      <c r="AA186" s="74"/>
      <c r="AB186" s="74"/>
      <c r="AC186" s="74"/>
      <c r="AD186" s="74"/>
      <c r="AE186" s="74"/>
      <c r="AF186" s="74"/>
      <c r="AG186" s="74"/>
      <c r="AH186" s="74"/>
      <c r="AI186" s="74"/>
      <c r="AJ186" s="74"/>
      <c r="AK186" s="74"/>
      <c r="AL186" s="74"/>
      <c r="AM186" s="74"/>
      <c r="AN186" s="74"/>
      <c r="AO186" s="74"/>
      <c r="AP186" s="74"/>
      <c r="AQ186" s="74"/>
      <c r="AR186" s="74"/>
      <c r="AS186" s="74"/>
      <c r="AT186" s="74"/>
      <c r="AU186" s="74"/>
      <c r="AV186" s="74"/>
      <c r="AW186" s="74"/>
      <c r="AX186" s="74"/>
      <c r="AY186" s="74"/>
      <c r="AZ186" s="74"/>
      <c r="BA186" s="74"/>
      <c r="BB186" s="74"/>
      <c r="BC186" s="74"/>
      <c r="BD186" s="74"/>
      <c r="BE186" s="74"/>
      <c r="BF186" s="74"/>
      <c r="BG186" s="74"/>
      <c r="BH186" s="74"/>
      <c r="BI186" s="74"/>
      <c r="BJ186" s="74"/>
      <c r="BK186" s="74"/>
      <c r="BL186" s="74"/>
      <c r="BM186" s="74"/>
      <c r="BN186" s="74"/>
      <c r="BO186" s="74"/>
      <c r="BP186" s="74"/>
      <c r="BQ186" s="74"/>
      <c r="BR186" s="74"/>
      <c r="BS186" s="74"/>
      <c r="BT186" s="74"/>
      <c r="BU186" s="74"/>
      <c r="BV186" s="74"/>
      <c r="BW186" s="74"/>
      <c r="BX186" s="74"/>
      <c r="BY186" s="74"/>
      <c r="BZ186" s="75"/>
    </row>
    <row r="187" spans="1:78" x14ac:dyDescent="0.2">
      <c r="A187" s="48"/>
      <c r="B187" s="44"/>
      <c r="C187" s="82"/>
      <c r="D187" s="82"/>
      <c r="E187" s="61"/>
      <c r="F187" s="73"/>
      <c r="G187" s="74"/>
      <c r="H187" s="74"/>
      <c r="I187" s="74"/>
      <c r="J187" s="74"/>
      <c r="K187" s="74"/>
      <c r="L187" s="74"/>
      <c r="M187" s="74"/>
      <c r="N187" s="74"/>
      <c r="O187" s="74"/>
      <c r="P187" s="74"/>
      <c r="Q187" s="74"/>
      <c r="R187" s="74"/>
      <c r="S187" s="74"/>
      <c r="T187" s="74"/>
      <c r="U187" s="74"/>
      <c r="V187" s="74"/>
      <c r="W187" s="74"/>
      <c r="X187" s="74"/>
      <c r="Y187" s="74"/>
      <c r="Z187" s="74"/>
      <c r="AA187" s="74"/>
      <c r="AB187" s="74"/>
      <c r="AC187" s="74"/>
      <c r="AD187" s="74"/>
      <c r="AE187" s="74"/>
      <c r="AF187" s="74"/>
      <c r="AG187" s="74"/>
      <c r="AH187" s="74"/>
      <c r="AI187" s="74"/>
      <c r="AJ187" s="74"/>
      <c r="AK187" s="74"/>
      <c r="AL187" s="74"/>
      <c r="AM187" s="74"/>
      <c r="AN187" s="74"/>
      <c r="AO187" s="74"/>
      <c r="AP187" s="74"/>
      <c r="AQ187" s="74"/>
      <c r="AR187" s="74"/>
      <c r="AS187" s="74"/>
      <c r="AT187" s="74"/>
      <c r="AU187" s="74"/>
      <c r="AV187" s="74"/>
      <c r="AW187" s="74"/>
      <c r="AX187" s="74"/>
      <c r="AY187" s="74"/>
      <c r="AZ187" s="74"/>
      <c r="BA187" s="74"/>
      <c r="BB187" s="74"/>
      <c r="BC187" s="74"/>
      <c r="BD187" s="74"/>
      <c r="BE187" s="74"/>
      <c r="BF187" s="74"/>
      <c r="BG187" s="74"/>
      <c r="BH187" s="74"/>
      <c r="BI187" s="74"/>
      <c r="BJ187" s="74"/>
      <c r="BK187" s="74"/>
      <c r="BL187" s="74"/>
      <c r="BM187" s="74"/>
      <c r="BN187" s="74"/>
      <c r="BO187" s="74"/>
      <c r="BP187" s="74"/>
      <c r="BQ187" s="74"/>
      <c r="BR187" s="74"/>
      <c r="BS187" s="74"/>
      <c r="BT187" s="74"/>
      <c r="BU187" s="74"/>
      <c r="BV187" s="74"/>
      <c r="BW187" s="74"/>
      <c r="BX187" s="74"/>
      <c r="BY187" s="74"/>
      <c r="BZ187" s="75"/>
    </row>
    <row r="188" spans="1:78" x14ac:dyDescent="0.2">
      <c r="A188" s="48"/>
      <c r="B188" s="44"/>
      <c r="C188" s="82"/>
      <c r="D188" s="82"/>
      <c r="E188" s="61"/>
      <c r="F188" s="49"/>
      <c r="G188" s="50"/>
      <c r="H188" s="50"/>
      <c r="I188" s="50"/>
      <c r="J188" s="50"/>
      <c r="K188" s="50"/>
      <c r="L188" s="50"/>
      <c r="M188" s="50"/>
      <c r="N188" s="50"/>
      <c r="O188" s="50"/>
      <c r="P188" s="50"/>
      <c r="Q188" s="50"/>
      <c r="R188" s="50"/>
      <c r="S188" s="50"/>
      <c r="T188" s="50"/>
      <c r="U188" s="50"/>
      <c r="V188" s="50"/>
      <c r="W188" s="50"/>
      <c r="X188" s="50"/>
      <c r="Y188" s="50"/>
      <c r="Z188" s="50"/>
      <c r="AA188" s="50"/>
      <c r="AB188" s="50"/>
      <c r="AC188" s="50"/>
      <c r="AD188" s="50"/>
      <c r="AE188" s="50"/>
      <c r="AF188" s="50"/>
      <c r="AG188" s="50"/>
      <c r="AH188" s="50"/>
      <c r="AI188" s="50"/>
      <c r="AJ188" s="50"/>
      <c r="AK188" s="50"/>
      <c r="AL188" s="50"/>
      <c r="AM188" s="50"/>
      <c r="AN188" s="50"/>
      <c r="AO188" s="50"/>
      <c r="AP188" s="50"/>
      <c r="AQ188" s="50"/>
      <c r="AR188" s="50"/>
      <c r="AS188" s="50"/>
      <c r="AT188" s="50"/>
      <c r="AU188" s="50"/>
      <c r="AV188" s="50"/>
      <c r="AW188" s="50"/>
      <c r="AX188" s="50"/>
      <c r="AY188" s="50"/>
      <c r="AZ188" s="50"/>
      <c r="BA188" s="50"/>
      <c r="BB188" s="50"/>
      <c r="BC188" s="50"/>
      <c r="BD188" s="50"/>
      <c r="BE188" s="50"/>
      <c r="BF188" s="50"/>
      <c r="BG188" s="50"/>
      <c r="BH188" s="50"/>
      <c r="BI188" s="50"/>
      <c r="BJ188" s="50"/>
      <c r="BK188" s="50"/>
      <c r="BL188" s="50"/>
      <c r="BM188" s="50"/>
      <c r="BN188" s="50"/>
      <c r="BO188" s="50"/>
      <c r="BP188" s="50"/>
      <c r="BQ188" s="50"/>
      <c r="BR188" s="50"/>
      <c r="BS188" s="50"/>
      <c r="BT188" s="50"/>
      <c r="BU188" s="50"/>
      <c r="BV188" s="50"/>
      <c r="BW188" s="50"/>
      <c r="BX188" s="50"/>
      <c r="BY188" s="50"/>
      <c r="BZ188" s="51"/>
    </row>
    <row r="189" spans="1:78" x14ac:dyDescent="0.2">
      <c r="A189" s="48"/>
      <c r="B189" s="44"/>
      <c r="C189" s="82"/>
      <c r="D189" s="82"/>
      <c r="E189" s="61"/>
      <c r="F189" s="49"/>
      <c r="G189" s="50"/>
      <c r="H189" s="50"/>
      <c r="I189" s="50"/>
      <c r="J189" s="50"/>
      <c r="K189" s="50"/>
      <c r="L189" s="50"/>
      <c r="M189" s="50"/>
      <c r="N189" s="50"/>
      <c r="O189" s="50"/>
      <c r="P189" s="50"/>
      <c r="Q189" s="50"/>
      <c r="R189" s="50"/>
      <c r="S189" s="50"/>
      <c r="T189" s="50"/>
      <c r="U189" s="50"/>
      <c r="V189" s="50"/>
      <c r="W189" s="50"/>
      <c r="X189" s="50"/>
      <c r="Y189" s="50"/>
      <c r="Z189" s="50"/>
      <c r="AA189" s="50"/>
      <c r="AB189" s="50"/>
      <c r="AC189" s="50"/>
      <c r="AD189" s="50"/>
      <c r="AE189" s="50"/>
      <c r="AF189" s="50"/>
      <c r="AG189" s="50"/>
      <c r="AH189" s="50"/>
      <c r="AI189" s="50"/>
      <c r="AJ189" s="50"/>
      <c r="AK189" s="50"/>
      <c r="AL189" s="50"/>
      <c r="AM189" s="50"/>
      <c r="AN189" s="50"/>
      <c r="AO189" s="50"/>
      <c r="AP189" s="50"/>
      <c r="AQ189" s="50"/>
      <c r="AR189" s="50"/>
      <c r="AS189" s="50"/>
      <c r="AT189" s="50"/>
      <c r="AU189" s="50"/>
      <c r="AV189" s="50"/>
      <c r="AW189" s="50"/>
      <c r="AX189" s="50"/>
      <c r="AY189" s="50"/>
      <c r="AZ189" s="50"/>
      <c r="BA189" s="50"/>
      <c r="BB189" s="50"/>
      <c r="BC189" s="50"/>
      <c r="BD189" s="50"/>
      <c r="BE189" s="50"/>
      <c r="BF189" s="50"/>
      <c r="BG189" s="50"/>
      <c r="BH189" s="50"/>
      <c r="BI189" s="50"/>
      <c r="BJ189" s="50"/>
      <c r="BK189" s="50"/>
      <c r="BL189" s="50"/>
      <c r="BM189" s="50"/>
      <c r="BN189" s="50"/>
      <c r="BO189" s="50"/>
      <c r="BP189" s="50"/>
      <c r="BQ189" s="50"/>
      <c r="BR189" s="50"/>
      <c r="BS189" s="50"/>
      <c r="BT189" s="50"/>
      <c r="BU189" s="50"/>
      <c r="BV189" s="50"/>
      <c r="BW189" s="50"/>
      <c r="BX189" s="50"/>
      <c r="BY189" s="50"/>
      <c r="BZ189" s="51"/>
    </row>
    <row r="190" spans="1:78" x14ac:dyDescent="0.2">
      <c r="A190" s="48"/>
      <c r="B190" s="44"/>
      <c r="C190" s="82"/>
      <c r="D190" s="82"/>
      <c r="E190" s="61"/>
      <c r="F190" s="73"/>
      <c r="G190" s="74"/>
      <c r="H190" s="74"/>
      <c r="I190" s="74"/>
      <c r="J190" s="74"/>
      <c r="K190" s="74"/>
      <c r="L190" s="74"/>
      <c r="M190" s="74"/>
      <c r="N190" s="74"/>
      <c r="O190" s="74"/>
      <c r="P190" s="74"/>
      <c r="Q190" s="74"/>
      <c r="R190" s="74"/>
      <c r="S190" s="74"/>
      <c r="T190" s="74"/>
      <c r="U190" s="74"/>
      <c r="V190" s="74"/>
      <c r="W190" s="74"/>
      <c r="X190" s="74"/>
      <c r="Y190" s="74"/>
      <c r="Z190" s="74"/>
      <c r="AA190" s="74"/>
      <c r="AB190" s="74"/>
      <c r="AC190" s="74"/>
      <c r="AD190" s="74"/>
      <c r="AE190" s="74"/>
      <c r="AF190" s="74"/>
      <c r="AG190" s="74"/>
      <c r="AH190" s="74"/>
      <c r="AI190" s="74"/>
      <c r="AJ190" s="74"/>
      <c r="AK190" s="74"/>
      <c r="AL190" s="74"/>
      <c r="AM190" s="74"/>
      <c r="AN190" s="74"/>
      <c r="AO190" s="74"/>
      <c r="AP190" s="74"/>
      <c r="AQ190" s="74"/>
      <c r="AR190" s="74"/>
      <c r="AS190" s="74"/>
      <c r="AT190" s="74"/>
      <c r="AU190" s="74"/>
      <c r="AV190" s="74"/>
      <c r="AW190" s="74"/>
      <c r="AX190" s="74"/>
      <c r="AY190" s="74"/>
      <c r="AZ190" s="74"/>
      <c r="BA190" s="74"/>
      <c r="BB190" s="74"/>
      <c r="BC190" s="74"/>
      <c r="BD190" s="74"/>
      <c r="BE190" s="74"/>
      <c r="BF190" s="74"/>
      <c r="BG190" s="74"/>
      <c r="BH190" s="74"/>
      <c r="BI190" s="74"/>
      <c r="BJ190" s="74"/>
      <c r="BK190" s="74"/>
      <c r="BL190" s="74"/>
      <c r="BM190" s="74"/>
      <c r="BN190" s="74"/>
      <c r="BO190" s="74"/>
      <c r="BP190" s="74"/>
      <c r="BQ190" s="74"/>
      <c r="BR190" s="74"/>
      <c r="BS190" s="74"/>
      <c r="BT190" s="74"/>
      <c r="BU190" s="74"/>
      <c r="BV190" s="74"/>
      <c r="BW190" s="74"/>
      <c r="BX190" s="74"/>
      <c r="BY190" s="74"/>
      <c r="BZ190" s="75"/>
    </row>
    <row r="191" spans="1:78" x14ac:dyDescent="0.2">
      <c r="A191" s="48"/>
      <c r="B191" s="44"/>
      <c r="C191" s="82"/>
      <c r="D191" s="82"/>
      <c r="E191" s="61"/>
      <c r="F191" s="73"/>
      <c r="G191" s="74"/>
      <c r="H191" s="74"/>
      <c r="I191" s="74"/>
      <c r="J191" s="74"/>
      <c r="K191" s="74"/>
      <c r="L191" s="74"/>
      <c r="M191" s="74"/>
      <c r="N191" s="74"/>
      <c r="O191" s="74"/>
      <c r="P191" s="74"/>
      <c r="Q191" s="74"/>
      <c r="R191" s="74"/>
      <c r="S191" s="74"/>
      <c r="T191" s="74"/>
      <c r="U191" s="74"/>
      <c r="V191" s="74"/>
      <c r="W191" s="74"/>
      <c r="X191" s="74"/>
      <c r="Y191" s="74"/>
      <c r="Z191" s="74"/>
      <c r="AA191" s="74"/>
      <c r="AB191" s="74"/>
      <c r="AC191" s="74"/>
      <c r="AD191" s="74"/>
      <c r="AE191" s="74"/>
      <c r="AF191" s="74"/>
      <c r="AG191" s="74"/>
      <c r="AH191" s="74"/>
      <c r="AI191" s="74"/>
      <c r="AJ191" s="74"/>
      <c r="AK191" s="74"/>
      <c r="AL191" s="74"/>
      <c r="AM191" s="74"/>
      <c r="AN191" s="74"/>
      <c r="AO191" s="74"/>
      <c r="AP191" s="74"/>
      <c r="AQ191" s="74"/>
      <c r="AR191" s="74"/>
      <c r="AS191" s="74"/>
      <c r="AT191" s="74"/>
      <c r="AU191" s="74"/>
      <c r="AV191" s="74"/>
      <c r="AW191" s="74"/>
      <c r="AX191" s="74"/>
      <c r="AY191" s="74"/>
      <c r="AZ191" s="74"/>
      <c r="BA191" s="74"/>
      <c r="BB191" s="74"/>
      <c r="BC191" s="74"/>
      <c r="BD191" s="74"/>
      <c r="BE191" s="74"/>
      <c r="BF191" s="74"/>
      <c r="BG191" s="74"/>
      <c r="BH191" s="74"/>
      <c r="BI191" s="74"/>
      <c r="BJ191" s="74"/>
      <c r="BK191" s="74"/>
      <c r="BL191" s="74"/>
      <c r="BM191" s="74"/>
      <c r="BN191" s="74"/>
      <c r="BO191" s="74"/>
      <c r="BP191" s="74"/>
      <c r="BQ191" s="74"/>
      <c r="BR191" s="74"/>
      <c r="BS191" s="74"/>
      <c r="BT191" s="74"/>
      <c r="BU191" s="74"/>
      <c r="BV191" s="74"/>
      <c r="BW191" s="74"/>
      <c r="BX191" s="74"/>
      <c r="BY191" s="74"/>
      <c r="BZ191" s="75"/>
    </row>
    <row r="192" spans="1:78" x14ac:dyDescent="0.2">
      <c r="A192" s="48"/>
      <c r="B192" s="44"/>
      <c r="C192" s="82"/>
      <c r="D192" s="82"/>
      <c r="E192" s="61"/>
      <c r="F192" s="73"/>
      <c r="G192" s="74"/>
      <c r="H192" s="74"/>
      <c r="I192" s="74"/>
      <c r="J192" s="74"/>
      <c r="K192" s="74"/>
      <c r="L192" s="74"/>
      <c r="M192" s="74"/>
      <c r="N192" s="74"/>
      <c r="O192" s="74"/>
      <c r="P192" s="74"/>
      <c r="Q192" s="74"/>
      <c r="R192" s="74"/>
      <c r="S192" s="74"/>
      <c r="T192" s="74"/>
      <c r="U192" s="74"/>
      <c r="V192" s="74"/>
      <c r="W192" s="74"/>
      <c r="X192" s="74"/>
      <c r="Y192" s="74"/>
      <c r="Z192" s="74"/>
      <c r="AA192" s="74"/>
      <c r="AB192" s="74"/>
      <c r="AC192" s="74"/>
      <c r="AD192" s="74"/>
      <c r="AE192" s="74"/>
      <c r="AF192" s="74"/>
      <c r="AG192" s="74"/>
      <c r="AH192" s="74"/>
      <c r="AI192" s="74"/>
      <c r="AJ192" s="74"/>
      <c r="AK192" s="74"/>
      <c r="AL192" s="74"/>
      <c r="AM192" s="74"/>
      <c r="AN192" s="74"/>
      <c r="AO192" s="74"/>
      <c r="AP192" s="74"/>
      <c r="AQ192" s="74"/>
      <c r="AR192" s="74"/>
      <c r="AS192" s="74"/>
      <c r="AT192" s="74"/>
      <c r="AU192" s="74"/>
      <c r="AV192" s="74"/>
      <c r="AW192" s="74"/>
      <c r="AX192" s="74"/>
      <c r="AY192" s="74"/>
      <c r="AZ192" s="74"/>
      <c r="BA192" s="74"/>
      <c r="BB192" s="74"/>
      <c r="BC192" s="74"/>
      <c r="BD192" s="74"/>
      <c r="BE192" s="74"/>
      <c r="BF192" s="74"/>
      <c r="BG192" s="74"/>
      <c r="BH192" s="74"/>
      <c r="BI192" s="74"/>
      <c r="BJ192" s="74"/>
      <c r="BK192" s="74"/>
      <c r="BL192" s="74"/>
      <c r="BM192" s="74"/>
      <c r="BN192" s="74"/>
      <c r="BO192" s="74"/>
      <c r="BP192" s="74"/>
      <c r="BQ192" s="74"/>
      <c r="BR192" s="74"/>
      <c r="BS192" s="74"/>
      <c r="BT192" s="74"/>
      <c r="BU192" s="74"/>
      <c r="BV192" s="74"/>
      <c r="BW192" s="74"/>
      <c r="BX192" s="74"/>
      <c r="BY192" s="74"/>
      <c r="BZ192" s="75"/>
    </row>
    <row r="193" spans="1:78" ht="13.5" thickBot="1" x14ac:dyDescent="0.25">
      <c r="A193" s="48"/>
      <c r="B193" s="44"/>
      <c r="C193" s="82"/>
      <c r="D193" s="82"/>
      <c r="E193" s="61"/>
      <c r="F193" s="76"/>
      <c r="G193" s="77"/>
      <c r="H193" s="77"/>
      <c r="I193" s="77"/>
      <c r="J193" s="77"/>
      <c r="K193" s="77"/>
      <c r="L193" s="77"/>
      <c r="M193" s="77"/>
      <c r="N193" s="77"/>
      <c r="O193" s="77"/>
      <c r="P193" s="77"/>
      <c r="Q193" s="77"/>
      <c r="R193" s="77"/>
      <c r="S193" s="77"/>
      <c r="T193" s="77"/>
      <c r="U193" s="77"/>
      <c r="V193" s="77"/>
      <c r="W193" s="77"/>
      <c r="X193" s="77"/>
      <c r="Y193" s="77"/>
      <c r="Z193" s="77"/>
      <c r="AA193" s="77"/>
      <c r="AB193" s="77"/>
      <c r="AC193" s="77"/>
      <c r="AD193" s="77"/>
      <c r="AE193" s="77"/>
      <c r="AF193" s="77"/>
      <c r="AG193" s="77"/>
      <c r="AH193" s="77"/>
      <c r="AI193" s="77"/>
      <c r="AJ193" s="77"/>
      <c r="AK193" s="77"/>
      <c r="AL193" s="77"/>
      <c r="AM193" s="77"/>
      <c r="AN193" s="77"/>
      <c r="AO193" s="77"/>
      <c r="AP193" s="77"/>
      <c r="AQ193" s="77"/>
      <c r="AR193" s="77"/>
      <c r="AS193" s="77"/>
      <c r="AT193" s="77"/>
      <c r="AU193" s="77"/>
      <c r="AV193" s="77"/>
      <c r="AW193" s="77"/>
      <c r="AX193" s="77"/>
      <c r="AY193" s="77"/>
      <c r="AZ193" s="77"/>
      <c r="BA193" s="77"/>
      <c r="BB193" s="77"/>
      <c r="BC193" s="77"/>
      <c r="BD193" s="77"/>
      <c r="BE193" s="77"/>
      <c r="BF193" s="77"/>
      <c r="BG193" s="77"/>
      <c r="BH193" s="77"/>
      <c r="BI193" s="77"/>
      <c r="BJ193" s="77"/>
      <c r="BK193" s="77"/>
      <c r="BL193" s="77"/>
      <c r="BM193" s="77"/>
      <c r="BN193" s="77"/>
      <c r="BO193" s="77"/>
      <c r="BP193" s="77"/>
      <c r="BQ193" s="77"/>
      <c r="BR193" s="77"/>
      <c r="BS193" s="77"/>
      <c r="BT193" s="77"/>
      <c r="BU193" s="77"/>
      <c r="BV193" s="77"/>
      <c r="BW193" s="77"/>
      <c r="BX193" s="77"/>
      <c r="BY193" s="77"/>
      <c r="BZ193" s="78"/>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RowHeight="12.75" x14ac:dyDescent="0.2"/>
  <cols>
    <col min="1" max="1" width="57.28515625" style="143" bestFit="1" customWidth="1"/>
    <col min="2" max="2" width="20.42578125" style="143" customWidth="1"/>
    <col min="3" max="3" width="17" style="144" bestFit="1" customWidth="1"/>
    <col min="4" max="4" width="18.85546875" style="145" customWidth="1"/>
    <col min="5" max="5" width="19.7109375" style="145" customWidth="1"/>
    <col min="6" max="6" width="17.140625" style="146" customWidth="1"/>
    <col min="7" max="7" width="18.5703125" style="147" customWidth="1"/>
    <col min="8" max="8" width="14.85546875" style="146" bestFit="1" customWidth="1"/>
    <col min="9" max="9" width="15.7109375" style="146" bestFit="1" customWidth="1"/>
    <col min="10" max="10" width="22.28515625" style="146" customWidth="1"/>
    <col min="11" max="16384" width="9.140625" style="130"/>
  </cols>
  <sheetData>
    <row r="1" spans="1:10" ht="29.25" customHeight="1" thickBot="1" x14ac:dyDescent="0.25">
      <c r="A1" s="359" t="str">
        <f>'Change Log'!A1:D1</f>
        <v>Digitial Column Position Sensor I2C - Rev 9</v>
      </c>
      <c r="B1" s="328"/>
      <c r="C1" s="328"/>
      <c r="D1" s="328"/>
      <c r="E1" s="328"/>
      <c r="F1" s="328"/>
      <c r="G1" s="328"/>
      <c r="H1" s="328"/>
      <c r="I1" s="328"/>
      <c r="J1" s="328"/>
    </row>
    <row r="2" spans="1:10" ht="13.5" thickBot="1" x14ac:dyDescent="0.25">
      <c r="A2" s="360" t="s">
        <v>91</v>
      </c>
      <c r="B2" s="330"/>
      <c r="C2" s="337"/>
      <c r="D2" s="337"/>
      <c r="E2" s="131"/>
      <c r="F2" s="338" t="s">
        <v>84</v>
      </c>
      <c r="G2" s="361"/>
      <c r="H2" s="361"/>
      <c r="I2" s="361"/>
      <c r="J2" s="362"/>
    </row>
    <row r="3" spans="1:10" ht="22.5" customHeight="1" thickBot="1" x14ac:dyDescent="0.25">
      <c r="A3" s="149"/>
      <c r="B3" s="149"/>
      <c r="C3" s="150"/>
      <c r="D3" s="151"/>
      <c r="E3" s="151"/>
      <c r="F3" s="152"/>
      <c r="G3" s="363" t="s">
        <v>83</v>
      </c>
      <c r="H3" s="364"/>
      <c r="I3" s="153"/>
      <c r="J3" s="152"/>
    </row>
    <row r="4" spans="1:10" ht="101.25" customHeight="1" thickBot="1" x14ac:dyDescent="0.25">
      <c r="A4" s="151" t="s">
        <v>56</v>
      </c>
      <c r="B4" s="151" t="s">
        <v>136</v>
      </c>
      <c r="C4" s="151" t="s">
        <v>57</v>
      </c>
      <c r="D4" s="151" t="s">
        <v>146</v>
      </c>
      <c r="E4" s="151" t="s">
        <v>147</v>
      </c>
      <c r="F4" s="151" t="s">
        <v>93</v>
      </c>
      <c r="G4" s="151" t="s">
        <v>53</v>
      </c>
      <c r="H4" s="154" t="s">
        <v>54</v>
      </c>
      <c r="I4" s="151" t="s">
        <v>52</v>
      </c>
      <c r="J4" s="151" t="s">
        <v>90</v>
      </c>
    </row>
    <row r="5" spans="1:10" ht="12.75" customHeight="1" x14ac:dyDescent="0.2">
      <c r="A5" s="155"/>
      <c r="B5" s="155"/>
      <c r="C5" s="156"/>
      <c r="D5" s="157"/>
      <c r="E5" s="157"/>
      <c r="F5" s="157"/>
      <c r="G5" s="155"/>
      <c r="H5" s="155"/>
      <c r="I5" s="157"/>
      <c r="J5" s="157"/>
    </row>
    <row r="6" spans="1:10" x14ac:dyDescent="0.2">
      <c r="A6" s="156"/>
      <c r="B6" s="156"/>
      <c r="C6" s="156"/>
      <c r="D6" s="158"/>
      <c r="E6" s="158"/>
      <c r="F6" s="158"/>
      <c r="G6" s="156"/>
      <c r="H6" s="156"/>
      <c r="I6" s="158"/>
      <c r="J6" s="158"/>
    </row>
    <row r="7" spans="1:10" x14ac:dyDescent="0.2">
      <c r="A7" s="156"/>
      <c r="B7" s="156"/>
      <c r="C7" s="156"/>
      <c r="D7" s="158"/>
      <c r="E7" s="158"/>
      <c r="F7" s="157"/>
      <c r="G7" s="156"/>
      <c r="H7" s="156"/>
      <c r="I7" s="158"/>
      <c r="J7" s="158"/>
    </row>
    <row r="8" spans="1:10" x14ac:dyDescent="0.2">
      <c r="A8" s="156"/>
      <c r="B8" s="156"/>
      <c r="C8" s="156"/>
      <c r="D8" s="158"/>
      <c r="E8" s="158"/>
      <c r="F8" s="157"/>
      <c r="G8" s="156"/>
      <c r="H8" s="156"/>
      <c r="I8" s="158"/>
      <c r="J8" s="158"/>
    </row>
    <row r="9" spans="1:10" x14ac:dyDescent="0.2">
      <c r="A9" s="156"/>
      <c r="B9" s="156"/>
      <c r="C9" s="156"/>
      <c r="D9" s="158"/>
      <c r="E9" s="158"/>
      <c r="F9" s="158"/>
      <c r="G9" s="156"/>
      <c r="H9" s="156"/>
      <c r="I9" s="158"/>
      <c r="J9" s="158"/>
    </row>
    <row r="10" spans="1:10" x14ac:dyDescent="0.2">
      <c r="A10" s="156"/>
      <c r="B10" s="156"/>
      <c r="C10" s="156"/>
      <c r="D10" s="158"/>
      <c r="E10" s="158"/>
      <c r="F10" s="157"/>
      <c r="G10" s="156"/>
      <c r="H10" s="156"/>
      <c r="I10" s="158"/>
      <c r="J10" s="158"/>
    </row>
    <row r="11" spans="1:10" ht="12.75" customHeight="1" x14ac:dyDescent="0.2">
      <c r="A11" s="155"/>
      <c r="B11" s="155"/>
      <c r="C11" s="156"/>
      <c r="D11" s="158"/>
      <c r="E11" s="157"/>
      <c r="F11" s="157"/>
      <c r="G11" s="155"/>
      <c r="H11" s="155"/>
      <c r="I11" s="157"/>
      <c r="J11" s="157"/>
    </row>
    <row r="12" spans="1:10" ht="12.75" customHeight="1" x14ac:dyDescent="0.2">
      <c r="A12" s="156"/>
      <c r="B12" s="156"/>
      <c r="C12" s="156"/>
      <c r="D12" s="158"/>
      <c r="E12" s="158"/>
      <c r="F12" s="158"/>
      <c r="G12" s="156"/>
      <c r="H12" s="156"/>
      <c r="I12" s="158"/>
      <c r="J12" s="158"/>
    </row>
    <row r="13" spans="1:10" ht="12.75" customHeight="1" x14ac:dyDescent="0.2">
      <c r="A13" s="156"/>
      <c r="B13" s="156"/>
      <c r="C13" s="156"/>
      <c r="D13" s="158"/>
      <c r="E13" s="158"/>
      <c r="F13" s="157"/>
      <c r="G13" s="156"/>
      <c r="H13" s="156"/>
      <c r="I13" s="158"/>
      <c r="J13" s="158"/>
    </row>
    <row r="14" spans="1:10" x14ac:dyDescent="0.2">
      <c r="A14" s="156"/>
      <c r="B14" s="156"/>
      <c r="C14" s="156"/>
      <c r="D14" s="158"/>
      <c r="E14" s="158"/>
      <c r="F14" s="157"/>
      <c r="G14" s="156"/>
      <c r="H14" s="156"/>
      <c r="I14" s="158"/>
      <c r="J14" s="158"/>
    </row>
    <row r="15" spans="1:10" x14ac:dyDescent="0.2">
      <c r="A15" s="156"/>
      <c r="B15" s="156"/>
      <c r="C15" s="156"/>
      <c r="D15" s="158"/>
      <c r="E15" s="158"/>
      <c r="F15" s="158"/>
      <c r="G15" s="156"/>
      <c r="H15" s="156"/>
      <c r="I15" s="158"/>
      <c r="J15" s="158"/>
    </row>
    <row r="16" spans="1:10" x14ac:dyDescent="0.2">
      <c r="A16" s="156"/>
      <c r="B16" s="156"/>
      <c r="C16" s="156"/>
      <c r="D16" s="158"/>
      <c r="E16" s="158"/>
      <c r="F16" s="157"/>
      <c r="G16" s="156"/>
      <c r="H16" s="156"/>
      <c r="I16" s="158"/>
      <c r="J16" s="158"/>
    </row>
    <row r="17" spans="1:10" ht="12.75" customHeight="1" x14ac:dyDescent="0.2">
      <c r="A17" s="156"/>
      <c r="B17" s="156"/>
      <c r="C17" s="156"/>
      <c r="D17" s="158"/>
      <c r="E17" s="158"/>
      <c r="F17" s="157"/>
      <c r="G17" s="156"/>
      <c r="H17" s="156"/>
      <c r="I17" s="158"/>
      <c r="J17" s="158"/>
    </row>
    <row r="18" spans="1:10" ht="12.75" customHeight="1" x14ac:dyDescent="0.2">
      <c r="A18" s="156"/>
      <c r="B18" s="156"/>
      <c r="C18" s="156"/>
      <c r="D18" s="158"/>
      <c r="E18" s="158"/>
      <c r="F18" s="158"/>
      <c r="G18" s="156"/>
      <c r="H18" s="156"/>
      <c r="I18" s="158"/>
      <c r="J18" s="158"/>
    </row>
    <row r="19" spans="1:10" x14ac:dyDescent="0.2">
      <c r="A19" s="156"/>
      <c r="B19" s="156"/>
      <c r="C19" s="156"/>
      <c r="D19" s="158"/>
      <c r="E19" s="158"/>
      <c r="F19" s="157"/>
      <c r="G19" s="156"/>
      <c r="H19" s="156"/>
      <c r="I19" s="158"/>
      <c r="J19" s="158"/>
    </row>
    <row r="20" spans="1:10" x14ac:dyDescent="0.2">
      <c r="A20" s="156"/>
      <c r="B20" s="156"/>
      <c r="C20" s="156"/>
      <c r="D20" s="158"/>
      <c r="E20" s="158"/>
      <c r="F20" s="157"/>
      <c r="G20" s="156"/>
      <c r="H20" s="156"/>
      <c r="I20" s="158"/>
      <c r="J20" s="158"/>
    </row>
    <row r="21" spans="1:10" x14ac:dyDescent="0.2">
      <c r="A21" s="156"/>
      <c r="B21" s="156"/>
      <c r="C21" s="156"/>
      <c r="D21" s="158"/>
      <c r="E21" s="158"/>
      <c r="F21" s="158"/>
      <c r="G21" s="156"/>
      <c r="H21" s="156"/>
      <c r="I21" s="158"/>
      <c r="J21" s="158"/>
    </row>
    <row r="22" spans="1:10" ht="12.75" customHeight="1" x14ac:dyDescent="0.2">
      <c r="A22" s="156"/>
      <c r="B22" s="156"/>
      <c r="C22" s="156"/>
      <c r="D22" s="158"/>
      <c r="E22" s="158"/>
      <c r="F22" s="157"/>
      <c r="G22" s="156"/>
      <c r="H22" s="156"/>
      <c r="I22" s="158"/>
      <c r="J22" s="158"/>
    </row>
    <row r="23" spans="1:10" ht="12.75" customHeight="1" x14ac:dyDescent="0.2">
      <c r="A23" s="156"/>
      <c r="B23" s="156"/>
      <c r="C23" s="156"/>
      <c r="D23" s="158"/>
      <c r="E23" s="158"/>
      <c r="F23" s="157"/>
      <c r="G23" s="156"/>
      <c r="H23" s="156"/>
      <c r="I23" s="158"/>
      <c r="J23" s="158"/>
    </row>
    <row r="24" spans="1:10" x14ac:dyDescent="0.2">
      <c r="A24" s="156"/>
      <c r="B24" s="156"/>
      <c r="C24" s="156"/>
      <c r="D24" s="158"/>
      <c r="E24" s="158"/>
      <c r="F24" s="158"/>
      <c r="G24" s="156"/>
      <c r="H24" s="156"/>
      <c r="I24" s="158"/>
      <c r="J24" s="158"/>
    </row>
    <row r="25" spans="1:10" ht="12.75" customHeight="1" x14ac:dyDescent="0.2">
      <c r="A25" s="156"/>
      <c r="B25" s="156"/>
      <c r="C25" s="156"/>
      <c r="D25" s="158"/>
      <c r="E25" s="158"/>
      <c r="F25" s="157"/>
      <c r="G25" s="156"/>
      <c r="H25" s="156"/>
      <c r="I25" s="158"/>
      <c r="J25" s="158"/>
    </row>
    <row r="26" spans="1:10" ht="12.75" customHeight="1" x14ac:dyDescent="0.2">
      <c r="A26" s="156"/>
      <c r="B26" s="156"/>
      <c r="C26" s="156"/>
      <c r="D26" s="158"/>
      <c r="E26" s="158"/>
      <c r="F26" s="157"/>
      <c r="G26" s="156"/>
      <c r="H26" s="156"/>
      <c r="I26" s="158"/>
      <c r="J26" s="158"/>
    </row>
    <row r="27" spans="1:10" x14ac:dyDescent="0.2">
      <c r="A27" s="156"/>
      <c r="B27" s="156"/>
      <c r="C27" s="156"/>
      <c r="D27" s="158"/>
      <c r="E27" s="158"/>
      <c r="F27" s="158"/>
      <c r="G27" s="156"/>
      <c r="H27" s="156"/>
      <c r="I27" s="158"/>
      <c r="J27" s="158"/>
    </row>
    <row r="28" spans="1:10" x14ac:dyDescent="0.2">
      <c r="A28" s="156"/>
      <c r="B28" s="156"/>
      <c r="C28" s="156"/>
      <c r="D28" s="158"/>
      <c r="E28" s="158"/>
      <c r="F28" s="157"/>
      <c r="G28" s="156"/>
      <c r="H28" s="156"/>
      <c r="I28" s="158"/>
      <c r="J28" s="158"/>
    </row>
    <row r="29" spans="1:10" x14ac:dyDescent="0.2">
      <c r="A29" s="156"/>
      <c r="B29" s="156"/>
      <c r="C29" s="156"/>
      <c r="D29" s="158"/>
      <c r="E29" s="158"/>
      <c r="F29" s="157"/>
      <c r="G29" s="156"/>
      <c r="H29" s="156"/>
      <c r="I29" s="158"/>
      <c r="J29" s="158"/>
    </row>
    <row r="30" spans="1:10" x14ac:dyDescent="0.2">
      <c r="A30" s="156"/>
      <c r="B30" s="156"/>
      <c r="C30" s="156"/>
      <c r="D30" s="158"/>
      <c r="E30" s="158"/>
      <c r="F30" s="158"/>
      <c r="G30" s="156"/>
      <c r="H30" s="156"/>
      <c r="I30" s="158"/>
      <c r="J30" s="158"/>
    </row>
    <row r="31" spans="1:10" x14ac:dyDescent="0.2">
      <c r="A31" s="156"/>
      <c r="B31" s="156"/>
      <c r="C31" s="156"/>
      <c r="D31" s="158"/>
      <c r="E31" s="158"/>
      <c r="F31" s="157"/>
      <c r="G31" s="156"/>
      <c r="H31" s="156"/>
      <c r="I31" s="158"/>
      <c r="J31" s="158"/>
    </row>
    <row r="32" spans="1:10" x14ac:dyDescent="0.2">
      <c r="A32" s="156"/>
      <c r="B32" s="156"/>
      <c r="C32" s="156"/>
      <c r="D32" s="158"/>
      <c r="E32" s="158"/>
      <c r="F32" s="157"/>
      <c r="G32" s="156"/>
      <c r="H32" s="156"/>
      <c r="I32" s="158"/>
      <c r="J32" s="158"/>
    </row>
    <row r="33" spans="1:10" x14ac:dyDescent="0.2">
      <c r="A33" s="156"/>
      <c r="B33" s="156"/>
      <c r="C33" s="156"/>
      <c r="D33" s="158"/>
      <c r="E33" s="158"/>
      <c r="F33" s="158"/>
      <c r="G33" s="156"/>
      <c r="H33" s="156"/>
      <c r="I33" s="158"/>
      <c r="J33" s="158"/>
    </row>
    <row r="34" spans="1:10" ht="12.75" customHeight="1" x14ac:dyDescent="0.2">
      <c r="A34" s="156"/>
      <c r="B34" s="156"/>
      <c r="C34" s="156"/>
      <c r="D34" s="158"/>
      <c r="E34" s="158"/>
      <c r="F34" s="157"/>
      <c r="G34" s="156"/>
      <c r="H34" s="156"/>
      <c r="I34" s="158"/>
      <c r="J34" s="158"/>
    </row>
    <row r="35" spans="1:10" x14ac:dyDescent="0.2">
      <c r="A35" s="156"/>
      <c r="B35" s="156"/>
      <c r="C35" s="156"/>
      <c r="D35" s="158"/>
      <c r="E35" s="158"/>
      <c r="F35" s="157"/>
      <c r="G35" s="156"/>
      <c r="H35" s="156"/>
      <c r="I35" s="158"/>
      <c r="J35" s="158"/>
    </row>
    <row r="36" spans="1:10" x14ac:dyDescent="0.2">
      <c r="A36" s="156"/>
      <c r="B36" s="156"/>
      <c r="C36" s="156"/>
      <c r="D36" s="158"/>
      <c r="E36" s="158"/>
      <c r="F36" s="158"/>
      <c r="G36" s="156"/>
      <c r="H36" s="156"/>
      <c r="I36" s="158"/>
      <c r="J36" s="158"/>
    </row>
    <row r="37" spans="1:10" x14ac:dyDescent="0.2">
      <c r="A37" s="156"/>
      <c r="B37" s="156"/>
      <c r="C37" s="156"/>
      <c r="D37" s="158"/>
      <c r="E37" s="158"/>
      <c r="F37" s="157"/>
      <c r="G37" s="156"/>
      <c r="H37" s="156"/>
      <c r="I37" s="158"/>
      <c r="J37" s="158"/>
    </row>
    <row r="38" spans="1:10" x14ac:dyDescent="0.2">
      <c r="A38" s="156"/>
      <c r="B38" s="156"/>
      <c r="C38" s="156"/>
      <c r="D38" s="158"/>
      <c r="E38" s="158"/>
      <c r="F38" s="157"/>
      <c r="G38" s="156"/>
      <c r="H38" s="156"/>
      <c r="I38" s="158"/>
      <c r="J38" s="158"/>
    </row>
    <row r="39" spans="1:10" x14ac:dyDescent="0.2">
      <c r="A39" s="156"/>
      <c r="B39" s="156"/>
      <c r="C39" s="156"/>
      <c r="D39" s="158"/>
      <c r="E39" s="158"/>
      <c r="F39" s="158"/>
      <c r="G39" s="156"/>
      <c r="H39" s="156"/>
      <c r="I39" s="158"/>
      <c r="J39" s="158"/>
    </row>
    <row r="40" spans="1:10" x14ac:dyDescent="0.2">
      <c r="A40" s="156"/>
      <c r="B40" s="156"/>
      <c r="C40" s="156"/>
      <c r="D40" s="158"/>
      <c r="E40" s="158"/>
      <c r="F40" s="157"/>
      <c r="G40" s="156"/>
      <c r="H40" s="156"/>
      <c r="I40" s="158"/>
      <c r="J40" s="158"/>
    </row>
    <row r="41" spans="1:10" ht="12.75" customHeight="1" x14ac:dyDescent="0.2">
      <c r="A41" s="156"/>
      <c r="B41" s="156"/>
      <c r="C41" s="156"/>
      <c r="D41" s="158"/>
      <c r="E41" s="158"/>
      <c r="F41" s="157"/>
      <c r="G41" s="156"/>
      <c r="H41" s="156"/>
      <c r="I41" s="158"/>
      <c r="J41" s="158"/>
    </row>
    <row r="42" spans="1:10" ht="12.75" customHeight="1" x14ac:dyDescent="0.2">
      <c r="A42" s="156"/>
      <c r="B42" s="156"/>
      <c r="C42" s="156"/>
      <c r="D42" s="158"/>
      <c r="E42" s="158"/>
      <c r="F42" s="158"/>
      <c r="G42" s="156"/>
      <c r="H42" s="156"/>
      <c r="I42" s="158"/>
      <c r="J42" s="158"/>
    </row>
    <row r="43" spans="1:10" ht="12.75" customHeight="1" x14ac:dyDescent="0.2">
      <c r="A43" s="156"/>
      <c r="B43" s="156"/>
      <c r="C43" s="156"/>
      <c r="D43" s="158"/>
      <c r="E43" s="158"/>
      <c r="F43" s="157"/>
      <c r="G43" s="156"/>
      <c r="H43" s="156"/>
      <c r="I43" s="158"/>
      <c r="J43" s="158"/>
    </row>
    <row r="44" spans="1:10" ht="12.75" customHeight="1" x14ac:dyDescent="0.2">
      <c r="A44" s="156"/>
      <c r="B44" s="156"/>
      <c r="C44" s="156"/>
      <c r="D44" s="158"/>
      <c r="E44" s="158"/>
      <c r="F44" s="157"/>
      <c r="G44" s="156"/>
      <c r="H44" s="156"/>
      <c r="I44" s="158"/>
      <c r="J44" s="158"/>
    </row>
    <row r="45" spans="1:10" ht="12.75" customHeight="1" x14ac:dyDescent="0.2">
      <c r="A45" s="156"/>
      <c r="B45" s="156"/>
      <c r="C45" s="156"/>
      <c r="D45" s="158"/>
      <c r="E45" s="158"/>
      <c r="F45" s="158"/>
      <c r="G45" s="156"/>
      <c r="H45" s="156"/>
      <c r="I45" s="158"/>
      <c r="J45" s="158"/>
    </row>
    <row r="46" spans="1:10" x14ac:dyDescent="0.2">
      <c r="A46" s="156"/>
      <c r="B46" s="156"/>
      <c r="C46" s="156"/>
      <c r="D46" s="158"/>
      <c r="E46" s="158"/>
      <c r="F46" s="157"/>
      <c r="G46" s="156"/>
      <c r="H46" s="156"/>
      <c r="I46" s="158"/>
      <c r="J46" s="158"/>
    </row>
    <row r="47" spans="1:10" x14ac:dyDescent="0.2">
      <c r="A47" s="156"/>
      <c r="B47" s="156"/>
      <c r="C47" s="156"/>
      <c r="D47" s="158"/>
      <c r="E47" s="158"/>
      <c r="F47" s="157"/>
      <c r="G47" s="156"/>
      <c r="H47" s="156"/>
      <c r="I47" s="158"/>
      <c r="J47" s="158"/>
    </row>
    <row r="48" spans="1:10" x14ac:dyDescent="0.2">
      <c r="A48" s="156"/>
      <c r="B48" s="156"/>
      <c r="C48" s="156"/>
      <c r="D48" s="158"/>
      <c r="E48" s="158"/>
      <c r="F48" s="158"/>
      <c r="G48" s="156"/>
      <c r="H48" s="156"/>
      <c r="I48" s="158"/>
      <c r="J48" s="158"/>
    </row>
    <row r="49" spans="1:10" x14ac:dyDescent="0.2">
      <c r="A49" s="156"/>
      <c r="B49" s="156"/>
      <c r="C49" s="156"/>
      <c r="D49" s="158"/>
      <c r="E49" s="158"/>
      <c r="F49" s="157"/>
      <c r="G49" s="156"/>
      <c r="H49" s="156"/>
      <c r="I49" s="158"/>
      <c r="J49" s="158"/>
    </row>
    <row r="50" spans="1:10" x14ac:dyDescent="0.2">
      <c r="A50" s="156"/>
      <c r="B50" s="156"/>
      <c r="C50" s="156"/>
      <c r="D50" s="158"/>
      <c r="E50" s="158"/>
      <c r="F50" s="157"/>
      <c r="G50" s="156"/>
      <c r="H50" s="156"/>
      <c r="I50" s="158"/>
      <c r="J50" s="158"/>
    </row>
    <row r="51" spans="1:10" x14ac:dyDescent="0.2">
      <c r="A51" s="156"/>
      <c r="B51" s="156"/>
      <c r="C51" s="156"/>
      <c r="D51" s="158"/>
      <c r="E51" s="158"/>
      <c r="F51" s="158"/>
      <c r="G51" s="156"/>
      <c r="H51" s="156"/>
      <c r="I51" s="158"/>
      <c r="J51" s="158"/>
    </row>
    <row r="52" spans="1:10" x14ac:dyDescent="0.2">
      <c r="A52" s="156"/>
      <c r="B52" s="156"/>
      <c r="C52" s="156"/>
      <c r="D52" s="158"/>
      <c r="E52" s="158"/>
      <c r="F52" s="157"/>
      <c r="G52" s="156"/>
      <c r="H52" s="156"/>
      <c r="I52" s="158"/>
      <c r="J52" s="158"/>
    </row>
    <row r="53" spans="1:10" x14ac:dyDescent="0.2">
      <c r="A53" s="156"/>
      <c r="B53" s="156"/>
      <c r="C53" s="156"/>
      <c r="D53" s="158"/>
      <c r="E53" s="158"/>
      <c r="F53" s="157"/>
      <c r="G53" s="156"/>
      <c r="H53" s="156"/>
      <c r="I53" s="158"/>
      <c r="J53" s="158"/>
    </row>
    <row r="54" spans="1:10" x14ac:dyDescent="0.2">
      <c r="A54" s="156"/>
      <c r="B54" s="156"/>
      <c r="C54" s="156"/>
      <c r="D54" s="158"/>
      <c r="E54" s="158"/>
      <c r="F54" s="158"/>
      <c r="G54" s="156"/>
      <c r="H54" s="156"/>
      <c r="I54" s="158"/>
      <c r="J54" s="158"/>
    </row>
    <row r="55" spans="1:10" ht="12.75" customHeight="1" x14ac:dyDescent="0.2">
      <c r="A55" s="156"/>
      <c r="B55" s="156"/>
      <c r="C55" s="156"/>
      <c r="D55" s="158"/>
      <c r="E55" s="158"/>
      <c r="F55" s="157"/>
      <c r="G55" s="156"/>
      <c r="H55" s="156"/>
      <c r="I55" s="158"/>
      <c r="J55" s="158"/>
    </row>
    <row r="56" spans="1:10" ht="12.75" customHeight="1" x14ac:dyDescent="0.2">
      <c r="A56" s="156"/>
      <c r="B56" s="156"/>
      <c r="C56" s="156"/>
      <c r="D56" s="158"/>
      <c r="E56" s="158"/>
      <c r="F56" s="157"/>
      <c r="G56" s="156"/>
      <c r="H56" s="156"/>
      <c r="I56" s="158"/>
      <c r="J56" s="158"/>
    </row>
    <row r="57" spans="1:10" ht="12.75" customHeight="1" x14ac:dyDescent="0.2">
      <c r="A57" s="156"/>
      <c r="B57" s="156"/>
      <c r="C57" s="156"/>
      <c r="D57" s="158"/>
      <c r="E57" s="158"/>
      <c r="F57" s="158"/>
      <c r="G57" s="156"/>
      <c r="H57" s="156"/>
      <c r="I57" s="158"/>
      <c r="J57" s="158"/>
    </row>
    <row r="58" spans="1:10" ht="12.75" customHeight="1" x14ac:dyDescent="0.2">
      <c r="A58" s="156"/>
      <c r="B58" s="156"/>
      <c r="C58" s="156"/>
      <c r="D58" s="158"/>
      <c r="E58" s="158"/>
      <c r="F58" s="157"/>
      <c r="G58" s="156"/>
      <c r="H58" s="156"/>
      <c r="I58" s="158"/>
      <c r="J58" s="158"/>
    </row>
    <row r="59" spans="1:10" ht="12.75" customHeight="1" x14ac:dyDescent="0.2">
      <c r="A59" s="156"/>
      <c r="B59" s="156"/>
      <c r="C59" s="156"/>
      <c r="D59" s="158"/>
      <c r="E59" s="158"/>
      <c r="F59" s="157"/>
      <c r="G59" s="156"/>
      <c r="H59" s="156"/>
      <c r="I59" s="158"/>
      <c r="J59" s="158"/>
    </row>
    <row r="60" spans="1:10" ht="12.75" customHeight="1" x14ac:dyDescent="0.2">
      <c r="A60" s="156"/>
      <c r="B60" s="156"/>
      <c r="C60" s="156"/>
      <c r="D60" s="158"/>
      <c r="E60" s="158"/>
      <c r="F60" s="158"/>
      <c r="G60" s="156"/>
      <c r="H60" s="156"/>
      <c r="I60" s="158"/>
      <c r="J60" s="158"/>
    </row>
    <row r="61" spans="1:10" ht="12.75" customHeight="1" x14ac:dyDescent="0.2">
      <c r="A61" s="156"/>
      <c r="B61" s="156"/>
      <c r="C61" s="156"/>
      <c r="D61" s="158"/>
      <c r="E61" s="158"/>
      <c r="F61" s="157"/>
      <c r="G61" s="156"/>
      <c r="H61" s="156"/>
      <c r="I61" s="158"/>
      <c r="J61" s="158"/>
    </row>
    <row r="62" spans="1:10" ht="12.75" customHeight="1" x14ac:dyDescent="0.2">
      <c r="A62" s="156"/>
      <c r="B62" s="156"/>
      <c r="C62" s="156"/>
      <c r="D62" s="158"/>
      <c r="E62" s="158"/>
      <c r="F62" s="157"/>
      <c r="G62" s="156"/>
      <c r="H62" s="156"/>
      <c r="I62" s="158"/>
      <c r="J62" s="158"/>
    </row>
    <row r="63" spans="1:10" ht="12.75" customHeight="1" x14ac:dyDescent="0.2">
      <c r="A63" s="156"/>
      <c r="B63" s="156"/>
      <c r="C63" s="156"/>
      <c r="D63" s="158"/>
      <c r="E63" s="158"/>
      <c r="F63" s="158"/>
      <c r="G63" s="156"/>
      <c r="H63" s="156"/>
      <c r="I63" s="158"/>
      <c r="J63" s="158"/>
    </row>
    <row r="64" spans="1:10" ht="12.75" customHeight="1" x14ac:dyDescent="0.2">
      <c r="A64" s="156"/>
      <c r="B64" s="156"/>
      <c r="C64" s="156"/>
      <c r="D64" s="158"/>
      <c r="E64" s="158"/>
      <c r="F64" s="157"/>
      <c r="G64" s="156"/>
      <c r="H64" s="156"/>
      <c r="I64" s="158"/>
      <c r="J64" s="158"/>
    </row>
    <row r="65" spans="1:10" x14ac:dyDescent="0.2">
      <c r="A65" s="156"/>
      <c r="B65" s="156"/>
      <c r="C65" s="156"/>
      <c r="D65" s="158"/>
      <c r="E65" s="158"/>
      <c r="F65" s="157"/>
      <c r="G65" s="156"/>
      <c r="H65" s="156"/>
      <c r="I65" s="158"/>
      <c r="J65" s="158"/>
    </row>
    <row r="66" spans="1:10" ht="12.75" customHeight="1" x14ac:dyDescent="0.2">
      <c r="A66" s="156"/>
      <c r="B66" s="156"/>
      <c r="C66" s="156"/>
      <c r="D66" s="158"/>
      <c r="E66" s="158"/>
      <c r="F66" s="158"/>
      <c r="G66" s="156"/>
      <c r="H66" s="156"/>
      <c r="I66" s="158"/>
      <c r="J66" s="158"/>
    </row>
    <row r="67" spans="1:10" ht="12.75" customHeight="1" x14ac:dyDescent="0.2">
      <c r="A67" s="156"/>
      <c r="B67" s="156"/>
      <c r="C67" s="156"/>
      <c r="D67" s="158"/>
      <c r="E67" s="158"/>
      <c r="F67" s="157"/>
      <c r="G67" s="156"/>
      <c r="H67" s="156"/>
      <c r="I67" s="158"/>
      <c r="J67" s="158"/>
    </row>
    <row r="68" spans="1:10" x14ac:dyDescent="0.2">
      <c r="A68" s="156"/>
      <c r="B68" s="156"/>
      <c r="C68" s="156"/>
      <c r="D68" s="158"/>
      <c r="E68" s="158"/>
      <c r="F68" s="157"/>
      <c r="G68" s="156"/>
      <c r="H68" s="156"/>
      <c r="I68" s="158"/>
      <c r="J68" s="158"/>
    </row>
    <row r="69" spans="1:10" x14ac:dyDescent="0.2">
      <c r="A69" s="156"/>
      <c r="B69" s="156"/>
      <c r="C69" s="156"/>
      <c r="D69" s="158"/>
      <c r="E69" s="158"/>
      <c r="F69" s="158"/>
      <c r="G69" s="156"/>
      <c r="H69" s="156"/>
      <c r="I69" s="158"/>
      <c r="J69" s="158"/>
    </row>
    <row r="70" spans="1:10" x14ac:dyDescent="0.2">
      <c r="A70" s="156"/>
      <c r="B70" s="156"/>
      <c r="C70" s="156"/>
      <c r="D70" s="158"/>
      <c r="E70" s="158"/>
      <c r="F70" s="157"/>
      <c r="G70" s="156"/>
      <c r="H70" s="156"/>
      <c r="I70" s="158"/>
      <c r="J70" s="158"/>
    </row>
    <row r="71" spans="1:10" ht="12.75" customHeight="1" x14ac:dyDescent="0.2">
      <c r="A71" s="156"/>
      <c r="B71" s="156"/>
      <c r="C71" s="156"/>
      <c r="D71" s="158"/>
      <c r="E71" s="158"/>
      <c r="F71" s="157"/>
      <c r="G71" s="156"/>
      <c r="H71" s="156"/>
      <c r="I71" s="158"/>
      <c r="J71" s="158"/>
    </row>
    <row r="72" spans="1:10" x14ac:dyDescent="0.2">
      <c r="A72" s="156"/>
      <c r="B72" s="156"/>
      <c r="C72" s="156"/>
      <c r="D72" s="158"/>
      <c r="E72" s="158"/>
      <c r="F72" s="158"/>
      <c r="G72" s="156"/>
      <c r="H72" s="156"/>
      <c r="I72" s="158"/>
      <c r="J72" s="158"/>
    </row>
    <row r="73" spans="1:10" x14ac:dyDescent="0.2">
      <c r="A73" s="156"/>
      <c r="B73" s="156"/>
      <c r="C73" s="156"/>
      <c r="D73" s="158"/>
      <c r="E73" s="158"/>
      <c r="F73" s="157"/>
      <c r="G73" s="156"/>
      <c r="H73" s="156"/>
      <c r="I73" s="158"/>
      <c r="J73" s="158"/>
    </row>
    <row r="74" spans="1:10" x14ac:dyDescent="0.2">
      <c r="A74" s="156"/>
      <c r="B74" s="156"/>
      <c r="C74" s="156"/>
      <c r="D74" s="158"/>
      <c r="E74" s="158"/>
      <c r="F74" s="157"/>
      <c r="G74" s="156"/>
      <c r="H74" s="156"/>
      <c r="I74" s="158"/>
      <c r="J74" s="158"/>
    </row>
    <row r="75" spans="1:10" ht="12.75" customHeight="1" x14ac:dyDescent="0.2">
      <c r="A75" s="156"/>
      <c r="B75" s="156"/>
      <c r="C75" s="156"/>
      <c r="D75" s="158"/>
      <c r="E75" s="158"/>
      <c r="F75" s="158"/>
      <c r="G75" s="156"/>
      <c r="H75" s="156"/>
      <c r="I75" s="158"/>
      <c r="J75" s="158"/>
    </row>
    <row r="76" spans="1:10" x14ac:dyDescent="0.2">
      <c r="A76" s="156"/>
      <c r="B76" s="156"/>
      <c r="C76" s="156"/>
      <c r="D76" s="158"/>
      <c r="E76" s="158"/>
      <c r="F76" s="157"/>
      <c r="G76" s="156"/>
      <c r="H76" s="156"/>
      <c r="I76" s="158"/>
      <c r="J76" s="158"/>
    </row>
    <row r="77" spans="1:10" x14ac:dyDescent="0.2">
      <c r="A77" s="156"/>
      <c r="B77" s="156"/>
      <c r="C77" s="156"/>
      <c r="D77" s="158"/>
      <c r="E77" s="158"/>
      <c r="F77" s="157"/>
      <c r="G77" s="156"/>
      <c r="H77" s="156"/>
      <c r="I77" s="158"/>
      <c r="J77" s="158"/>
    </row>
    <row r="78" spans="1:10" ht="12.75" customHeight="1" x14ac:dyDescent="0.2">
      <c r="A78" s="156"/>
      <c r="B78" s="156"/>
      <c r="C78" s="156"/>
      <c r="D78" s="158"/>
      <c r="E78" s="158"/>
      <c r="F78" s="158"/>
      <c r="G78" s="156"/>
      <c r="H78" s="156"/>
      <c r="I78" s="158"/>
      <c r="J78" s="158"/>
    </row>
    <row r="79" spans="1:10" ht="12.75" customHeight="1" x14ac:dyDescent="0.2">
      <c r="A79" s="156"/>
      <c r="B79" s="156"/>
      <c r="C79" s="156"/>
      <c r="D79" s="158"/>
      <c r="E79" s="158"/>
      <c r="F79" s="157"/>
      <c r="G79" s="156"/>
      <c r="H79" s="156"/>
      <c r="I79" s="158"/>
      <c r="J79" s="158"/>
    </row>
    <row r="80" spans="1:10" ht="12.75" customHeight="1" x14ac:dyDescent="0.2">
      <c r="A80" s="156"/>
      <c r="B80" s="156"/>
      <c r="C80" s="156"/>
      <c r="D80" s="158"/>
      <c r="E80" s="158"/>
      <c r="F80" s="157"/>
      <c r="G80" s="156"/>
      <c r="H80" s="156"/>
      <c r="I80" s="158"/>
      <c r="J80" s="158"/>
    </row>
    <row r="81" spans="1:10" ht="12.75" customHeight="1" x14ac:dyDescent="0.2">
      <c r="A81" s="156"/>
      <c r="B81" s="156"/>
      <c r="C81" s="156"/>
      <c r="D81" s="158"/>
      <c r="E81" s="158"/>
      <c r="F81" s="158"/>
      <c r="G81" s="156"/>
      <c r="H81" s="156"/>
      <c r="I81" s="158"/>
      <c r="J81" s="158"/>
    </row>
    <row r="82" spans="1:10" ht="12.75" customHeight="1" x14ac:dyDescent="0.2">
      <c r="A82" s="156"/>
      <c r="B82" s="156"/>
      <c r="C82" s="156"/>
      <c r="D82" s="158"/>
      <c r="E82" s="158"/>
      <c r="F82" s="157"/>
      <c r="G82" s="156"/>
      <c r="H82" s="156"/>
      <c r="I82" s="158"/>
      <c r="J82" s="158"/>
    </row>
    <row r="83" spans="1:10" ht="12.75" customHeight="1" x14ac:dyDescent="0.2">
      <c r="A83" s="156"/>
      <c r="B83" s="156"/>
      <c r="C83" s="156"/>
      <c r="D83" s="158"/>
      <c r="E83" s="158"/>
      <c r="F83" s="157"/>
      <c r="G83" s="156"/>
      <c r="H83" s="156"/>
      <c r="I83" s="158"/>
      <c r="J83" s="158"/>
    </row>
    <row r="84" spans="1:10" x14ac:dyDescent="0.2">
      <c r="A84" s="156"/>
      <c r="B84" s="156"/>
      <c r="C84" s="156"/>
      <c r="D84" s="158"/>
      <c r="E84" s="158"/>
      <c r="F84" s="158"/>
      <c r="G84" s="156"/>
      <c r="H84" s="156"/>
      <c r="I84" s="158"/>
      <c r="J84" s="158"/>
    </row>
    <row r="85" spans="1:10" x14ac:dyDescent="0.2">
      <c r="A85" s="156"/>
      <c r="B85" s="156"/>
      <c r="C85" s="156"/>
      <c r="D85" s="158"/>
      <c r="E85" s="158"/>
      <c r="F85" s="157"/>
      <c r="G85" s="156"/>
      <c r="H85" s="156"/>
      <c r="I85" s="158"/>
      <c r="J85" s="158"/>
    </row>
    <row r="86" spans="1:10" x14ac:dyDescent="0.2">
      <c r="A86" s="156"/>
      <c r="B86" s="156"/>
      <c r="C86" s="156"/>
      <c r="D86" s="158"/>
      <c r="E86" s="158"/>
      <c r="F86" s="157"/>
      <c r="G86" s="156"/>
      <c r="H86" s="156"/>
      <c r="I86" s="158"/>
      <c r="J86" s="158"/>
    </row>
    <row r="87" spans="1:10" x14ac:dyDescent="0.2">
      <c r="A87" s="156"/>
      <c r="B87" s="156"/>
      <c r="C87" s="156"/>
      <c r="D87" s="158"/>
      <c r="E87" s="158"/>
      <c r="F87" s="158"/>
      <c r="G87" s="156"/>
      <c r="H87" s="156"/>
      <c r="I87" s="158"/>
      <c r="J87" s="158"/>
    </row>
    <row r="88" spans="1:10" x14ac:dyDescent="0.2">
      <c r="A88" s="156"/>
      <c r="B88" s="156"/>
      <c r="C88" s="156"/>
      <c r="D88" s="158"/>
      <c r="E88" s="158"/>
      <c r="F88" s="157"/>
      <c r="G88" s="156"/>
      <c r="H88" s="156"/>
      <c r="I88" s="158"/>
      <c r="J88" s="158"/>
    </row>
    <row r="89" spans="1:10" ht="12.75" customHeight="1" x14ac:dyDescent="0.2">
      <c r="A89" s="156"/>
      <c r="B89" s="156"/>
      <c r="C89" s="156"/>
      <c r="D89" s="158"/>
      <c r="E89" s="158"/>
      <c r="F89" s="157"/>
      <c r="G89" s="156"/>
      <c r="H89" s="156"/>
      <c r="I89" s="158"/>
      <c r="J89" s="158"/>
    </row>
    <row r="90" spans="1:10" ht="12.75" customHeight="1" x14ac:dyDescent="0.2">
      <c r="A90" s="156"/>
      <c r="B90" s="156"/>
      <c r="C90" s="156"/>
      <c r="D90" s="158"/>
      <c r="E90" s="158"/>
      <c r="F90" s="158"/>
      <c r="G90" s="156"/>
      <c r="H90" s="156"/>
      <c r="I90" s="158"/>
      <c r="J90" s="158"/>
    </row>
    <row r="91" spans="1:10" x14ac:dyDescent="0.2">
      <c r="A91" s="156"/>
      <c r="B91" s="156"/>
      <c r="C91" s="156"/>
      <c r="D91" s="158"/>
      <c r="E91" s="158"/>
      <c r="F91" s="157"/>
      <c r="G91" s="156"/>
      <c r="H91" s="156"/>
      <c r="I91" s="158"/>
      <c r="J91" s="158"/>
    </row>
    <row r="92" spans="1:10" x14ac:dyDescent="0.2">
      <c r="A92" s="156"/>
      <c r="B92" s="156"/>
      <c r="C92" s="156"/>
      <c r="D92" s="158"/>
      <c r="E92" s="158"/>
      <c r="F92" s="157"/>
      <c r="G92" s="156"/>
      <c r="H92" s="156"/>
      <c r="I92" s="158"/>
      <c r="J92" s="158"/>
    </row>
    <row r="93" spans="1:10" x14ac:dyDescent="0.2">
      <c r="A93" s="156"/>
      <c r="B93" s="156"/>
      <c r="C93" s="156"/>
      <c r="D93" s="158"/>
      <c r="E93" s="158"/>
      <c r="F93" s="158"/>
      <c r="G93" s="156"/>
      <c r="H93" s="156"/>
      <c r="I93" s="158"/>
      <c r="J93" s="158"/>
    </row>
    <row r="94" spans="1:10" x14ac:dyDescent="0.2">
      <c r="A94" s="156"/>
      <c r="B94" s="156"/>
      <c r="C94" s="156"/>
      <c r="D94" s="158"/>
      <c r="E94" s="158"/>
      <c r="F94" s="157"/>
      <c r="G94" s="156"/>
      <c r="H94" s="156"/>
      <c r="I94" s="158"/>
      <c r="J94" s="158"/>
    </row>
    <row r="95" spans="1:10" ht="12.75" customHeight="1" x14ac:dyDescent="0.2">
      <c r="A95" s="156"/>
      <c r="B95" s="156"/>
      <c r="C95" s="156"/>
      <c r="D95" s="158"/>
      <c r="E95" s="158"/>
      <c r="F95" s="157"/>
      <c r="G95" s="156"/>
      <c r="H95" s="156"/>
      <c r="I95" s="158"/>
      <c r="J95" s="158"/>
    </row>
    <row r="96" spans="1:10" ht="12.75" customHeight="1" x14ac:dyDescent="0.2">
      <c r="A96" s="156"/>
      <c r="B96" s="156"/>
      <c r="C96" s="156"/>
      <c r="D96" s="158"/>
      <c r="E96" s="158"/>
      <c r="F96" s="158"/>
      <c r="G96" s="156"/>
      <c r="H96" s="156"/>
      <c r="I96" s="158"/>
      <c r="J96" s="158"/>
    </row>
    <row r="97" spans="1:10" ht="12.75" customHeight="1" x14ac:dyDescent="0.2">
      <c r="A97" s="156"/>
      <c r="B97" s="156"/>
      <c r="C97" s="156"/>
      <c r="D97" s="158"/>
      <c r="E97" s="158"/>
      <c r="F97" s="157"/>
      <c r="G97" s="156"/>
      <c r="H97" s="156"/>
      <c r="I97" s="158"/>
      <c r="J97" s="158"/>
    </row>
    <row r="98" spans="1:10" ht="12.75" customHeight="1" x14ac:dyDescent="0.2">
      <c r="A98" s="156"/>
      <c r="B98" s="156"/>
      <c r="C98" s="156"/>
      <c r="D98" s="158"/>
      <c r="E98" s="158"/>
      <c r="F98" s="157"/>
      <c r="G98" s="156"/>
      <c r="H98" s="156"/>
      <c r="I98" s="158"/>
      <c r="J98" s="158"/>
    </row>
    <row r="99" spans="1:10" ht="12.75" customHeight="1" x14ac:dyDescent="0.2">
      <c r="A99" s="156"/>
      <c r="B99" s="156"/>
      <c r="C99" s="156"/>
      <c r="D99" s="158"/>
      <c r="E99" s="158"/>
      <c r="F99" s="158"/>
      <c r="G99" s="156"/>
      <c r="H99" s="156"/>
      <c r="I99" s="158"/>
      <c r="J99" s="158"/>
    </row>
    <row r="100" spans="1:10" ht="12.75" customHeight="1" x14ac:dyDescent="0.2">
      <c r="A100" s="156"/>
      <c r="B100" s="156"/>
      <c r="C100" s="156"/>
      <c r="D100" s="158"/>
      <c r="E100" s="158"/>
      <c r="F100" s="157"/>
      <c r="G100" s="156"/>
      <c r="H100" s="156"/>
      <c r="I100" s="158"/>
      <c r="J100" s="158"/>
    </row>
    <row r="101" spans="1:10" x14ac:dyDescent="0.2">
      <c r="A101" s="156"/>
      <c r="B101" s="156"/>
      <c r="C101" s="156"/>
      <c r="D101" s="158"/>
      <c r="E101" s="158"/>
      <c r="F101" s="157"/>
      <c r="G101" s="156"/>
      <c r="H101" s="156"/>
      <c r="I101" s="158"/>
      <c r="J101" s="158"/>
    </row>
    <row r="102" spans="1:10" x14ac:dyDescent="0.2">
      <c r="A102" s="156"/>
      <c r="B102" s="156"/>
      <c r="C102" s="156"/>
      <c r="D102" s="158"/>
      <c r="E102" s="158"/>
      <c r="F102" s="158"/>
      <c r="G102" s="156"/>
      <c r="H102" s="156"/>
      <c r="I102" s="158"/>
      <c r="J102" s="158"/>
    </row>
    <row r="103" spans="1:10" ht="12.75" customHeight="1" x14ac:dyDescent="0.2">
      <c r="A103" s="156"/>
      <c r="B103" s="156"/>
      <c r="C103" s="156"/>
      <c r="D103" s="158"/>
      <c r="E103" s="158"/>
      <c r="F103" s="157"/>
      <c r="G103" s="156"/>
      <c r="H103" s="156"/>
      <c r="I103" s="158"/>
      <c r="J103" s="158"/>
    </row>
    <row r="104" spans="1:10" ht="12.75" customHeight="1" x14ac:dyDescent="0.2">
      <c r="A104" s="156"/>
      <c r="B104" s="156"/>
      <c r="C104" s="156"/>
      <c r="D104" s="158"/>
      <c r="E104" s="158"/>
      <c r="F104" s="157"/>
      <c r="G104" s="156"/>
      <c r="H104" s="156"/>
      <c r="I104" s="158"/>
      <c r="J104" s="158"/>
    </row>
    <row r="105" spans="1:10" s="159" customFormat="1" ht="12.75" customHeight="1" x14ac:dyDescent="0.2">
      <c r="A105" s="156"/>
      <c r="B105" s="156"/>
      <c r="C105" s="156"/>
      <c r="D105" s="158"/>
      <c r="E105" s="158"/>
      <c r="F105" s="158"/>
      <c r="G105" s="156"/>
      <c r="H105" s="156"/>
      <c r="I105" s="158"/>
      <c r="J105" s="158"/>
    </row>
    <row r="106" spans="1:10" s="160" customFormat="1" ht="12.75" customHeight="1" x14ac:dyDescent="0.2">
      <c r="A106" s="156"/>
      <c r="B106" s="156"/>
      <c r="C106" s="156"/>
      <c r="D106" s="158"/>
      <c r="E106" s="158"/>
      <c r="F106" s="157"/>
      <c r="G106" s="156"/>
      <c r="H106" s="156"/>
      <c r="I106" s="158"/>
      <c r="J106" s="158"/>
    </row>
    <row r="107" spans="1:10" s="159" customFormat="1" ht="12.75" customHeight="1" x14ac:dyDescent="0.2">
      <c r="A107" s="156"/>
      <c r="B107" s="156"/>
      <c r="C107" s="156"/>
      <c r="D107" s="158"/>
      <c r="E107" s="158"/>
      <c r="F107" s="157"/>
      <c r="G107" s="156"/>
      <c r="H107" s="156"/>
      <c r="I107" s="158"/>
      <c r="J107" s="158"/>
    </row>
    <row r="108" spans="1:10" ht="12.75" customHeight="1" x14ac:dyDescent="0.2">
      <c r="A108" s="156"/>
      <c r="B108" s="156"/>
      <c r="C108" s="156"/>
      <c r="D108" s="158"/>
      <c r="E108" s="158"/>
      <c r="F108" s="158"/>
      <c r="G108" s="156"/>
      <c r="H108" s="156"/>
      <c r="I108" s="158"/>
      <c r="J108" s="158"/>
    </row>
    <row r="109" spans="1:10" ht="12.75" customHeight="1" x14ac:dyDescent="0.2">
      <c r="A109" s="156"/>
      <c r="B109" s="156"/>
      <c r="C109" s="156"/>
      <c r="D109" s="158"/>
      <c r="E109" s="158"/>
      <c r="F109" s="157"/>
      <c r="G109" s="156"/>
      <c r="H109" s="156"/>
      <c r="I109" s="158"/>
      <c r="J109" s="158"/>
    </row>
    <row r="110" spans="1:10" x14ac:dyDescent="0.2">
      <c r="A110" s="156"/>
      <c r="B110" s="156"/>
      <c r="C110" s="156"/>
      <c r="D110" s="158"/>
      <c r="E110" s="158"/>
      <c r="F110" s="157"/>
      <c r="G110" s="156"/>
      <c r="H110" s="156"/>
      <c r="I110" s="158"/>
      <c r="J110" s="158"/>
    </row>
    <row r="111" spans="1:10" x14ac:dyDescent="0.2">
      <c r="A111" s="156"/>
      <c r="B111" s="156"/>
      <c r="C111" s="156"/>
      <c r="D111" s="158"/>
      <c r="E111" s="158"/>
      <c r="F111" s="158"/>
      <c r="G111" s="156"/>
      <c r="H111" s="156"/>
      <c r="I111" s="158"/>
      <c r="J111" s="158"/>
    </row>
    <row r="112" spans="1:10" x14ac:dyDescent="0.2">
      <c r="A112" s="156"/>
      <c r="B112" s="156"/>
      <c r="C112" s="156"/>
      <c r="D112" s="158"/>
      <c r="E112" s="158"/>
      <c r="F112" s="157"/>
      <c r="G112" s="156"/>
      <c r="H112" s="156"/>
      <c r="I112" s="158"/>
      <c r="J112" s="158"/>
    </row>
    <row r="113" spans="1:10" x14ac:dyDescent="0.2">
      <c r="A113" s="156"/>
      <c r="B113" s="156"/>
      <c r="C113" s="156"/>
      <c r="D113" s="158"/>
      <c r="E113" s="158"/>
      <c r="F113" s="157"/>
      <c r="G113" s="156"/>
      <c r="H113" s="156"/>
      <c r="I113" s="158"/>
      <c r="J113" s="158"/>
    </row>
    <row r="114" spans="1:10" ht="12.75" customHeight="1" x14ac:dyDescent="0.2">
      <c r="A114" s="156"/>
      <c r="B114" s="156"/>
      <c r="C114" s="156"/>
      <c r="D114" s="158"/>
      <c r="E114" s="158"/>
      <c r="F114" s="158"/>
      <c r="G114" s="156"/>
      <c r="H114" s="156"/>
      <c r="I114" s="158"/>
      <c r="J114" s="158"/>
    </row>
    <row r="115" spans="1:10" x14ac:dyDescent="0.2">
      <c r="A115" s="156"/>
      <c r="B115" s="156"/>
      <c r="C115" s="156"/>
      <c r="D115" s="158"/>
      <c r="E115" s="158"/>
      <c r="F115" s="157"/>
      <c r="G115" s="156"/>
      <c r="H115" s="156"/>
      <c r="I115" s="158"/>
      <c r="J115" s="158"/>
    </row>
    <row r="116" spans="1:10" ht="12.75" customHeight="1" x14ac:dyDescent="0.2">
      <c r="A116" s="156"/>
      <c r="B116" s="156"/>
      <c r="C116" s="156"/>
      <c r="D116" s="158"/>
      <c r="E116" s="158"/>
      <c r="F116" s="157"/>
      <c r="G116" s="156"/>
      <c r="H116" s="156"/>
      <c r="I116" s="158"/>
      <c r="J116" s="158"/>
    </row>
    <row r="117" spans="1:10" x14ac:dyDescent="0.2">
      <c r="A117" s="156"/>
      <c r="B117" s="156"/>
      <c r="C117" s="156"/>
      <c r="D117" s="158"/>
      <c r="E117" s="158"/>
      <c r="F117" s="158"/>
      <c r="G117" s="156"/>
      <c r="H117" s="156"/>
      <c r="I117" s="158"/>
      <c r="J117" s="158"/>
    </row>
    <row r="118" spans="1:10" x14ac:dyDescent="0.2">
      <c r="A118" s="156"/>
      <c r="B118" s="156"/>
      <c r="C118" s="156"/>
      <c r="D118" s="158"/>
      <c r="E118" s="158"/>
      <c r="F118" s="157"/>
      <c r="G118" s="156"/>
      <c r="H118" s="156"/>
      <c r="I118" s="158"/>
      <c r="J118" s="158"/>
    </row>
    <row r="119" spans="1:10" x14ac:dyDescent="0.2">
      <c r="A119" s="156"/>
      <c r="B119" s="156"/>
      <c r="C119" s="156"/>
      <c r="D119" s="158"/>
      <c r="E119" s="158"/>
      <c r="F119" s="157"/>
      <c r="G119" s="156"/>
      <c r="H119" s="156"/>
      <c r="I119" s="158"/>
      <c r="J119" s="158"/>
    </row>
    <row r="120" spans="1:10" x14ac:dyDescent="0.2">
      <c r="A120" s="156"/>
      <c r="B120" s="156"/>
      <c r="C120" s="156"/>
      <c r="D120" s="158"/>
      <c r="E120" s="158"/>
      <c r="F120" s="158"/>
      <c r="G120" s="156"/>
      <c r="H120" s="156"/>
      <c r="I120" s="158"/>
      <c r="J120" s="158"/>
    </row>
    <row r="121" spans="1:10" ht="12.75" customHeight="1" x14ac:dyDescent="0.2">
      <c r="A121" s="156"/>
      <c r="B121" s="156"/>
      <c r="C121" s="156"/>
      <c r="D121" s="158"/>
      <c r="E121" s="158"/>
      <c r="F121" s="157"/>
      <c r="G121" s="156"/>
      <c r="H121" s="156"/>
      <c r="I121" s="158"/>
      <c r="J121" s="158"/>
    </row>
    <row r="122" spans="1:10" x14ac:dyDescent="0.2">
      <c r="A122" s="156"/>
      <c r="B122" s="156"/>
      <c r="C122" s="156"/>
      <c r="D122" s="158"/>
      <c r="E122" s="158"/>
      <c r="F122" s="157"/>
      <c r="G122" s="156"/>
      <c r="H122" s="156"/>
      <c r="I122" s="158"/>
      <c r="J122" s="158"/>
    </row>
    <row r="123" spans="1:10" x14ac:dyDescent="0.2">
      <c r="A123" s="156"/>
      <c r="B123" s="156"/>
      <c r="C123" s="156"/>
      <c r="D123" s="158"/>
      <c r="E123" s="158"/>
      <c r="F123" s="158"/>
      <c r="G123" s="156"/>
      <c r="H123" s="156"/>
      <c r="I123" s="158"/>
      <c r="J123" s="158"/>
    </row>
    <row r="124" spans="1:10" x14ac:dyDescent="0.2">
      <c r="A124" s="156"/>
      <c r="B124" s="156"/>
      <c r="C124" s="156"/>
      <c r="D124" s="158"/>
      <c r="E124" s="158"/>
      <c r="F124" s="157"/>
      <c r="G124" s="156"/>
      <c r="H124" s="156"/>
      <c r="I124" s="158"/>
      <c r="J124" s="158"/>
    </row>
    <row r="125" spans="1:10" x14ac:dyDescent="0.2">
      <c r="A125" s="156"/>
      <c r="B125" s="156"/>
      <c r="C125" s="156"/>
      <c r="D125" s="158"/>
      <c r="E125" s="158"/>
      <c r="F125" s="157"/>
      <c r="G125" s="156"/>
      <c r="H125" s="156"/>
      <c r="I125" s="158"/>
      <c r="J125" s="158"/>
    </row>
    <row r="126" spans="1:10" ht="12.75" customHeight="1" x14ac:dyDescent="0.2">
      <c r="A126" s="156"/>
      <c r="B126" s="156"/>
      <c r="C126" s="156"/>
      <c r="D126" s="158"/>
      <c r="E126" s="158"/>
      <c r="F126" s="158"/>
      <c r="G126" s="156"/>
      <c r="H126" s="156"/>
      <c r="I126" s="158"/>
      <c r="J126" s="158"/>
    </row>
    <row r="127" spans="1:10" x14ac:dyDescent="0.2">
      <c r="A127" s="156"/>
      <c r="B127" s="156"/>
      <c r="C127" s="156"/>
      <c r="D127" s="158"/>
      <c r="E127" s="158"/>
      <c r="F127" s="157"/>
      <c r="G127" s="156"/>
      <c r="H127" s="156"/>
      <c r="I127" s="158"/>
      <c r="J127" s="158"/>
    </row>
    <row r="128" spans="1:10" x14ac:dyDescent="0.2">
      <c r="A128" s="156"/>
      <c r="B128" s="156"/>
      <c r="C128" s="156"/>
      <c r="D128" s="158"/>
      <c r="E128" s="158"/>
      <c r="F128" s="157"/>
      <c r="G128" s="156"/>
      <c r="H128" s="156"/>
      <c r="I128" s="158"/>
      <c r="J128" s="158"/>
    </row>
    <row r="129" spans="1:10" ht="12.75" customHeight="1" x14ac:dyDescent="0.2">
      <c r="A129" s="156"/>
      <c r="B129" s="156"/>
      <c r="C129" s="156"/>
      <c r="D129" s="158"/>
      <c r="E129" s="158"/>
      <c r="F129" s="158"/>
      <c r="G129" s="156"/>
      <c r="H129" s="156"/>
      <c r="I129" s="158"/>
      <c r="J129" s="158"/>
    </row>
    <row r="130" spans="1:10" x14ac:dyDescent="0.2">
      <c r="A130" s="156"/>
      <c r="B130" s="156"/>
      <c r="C130" s="156"/>
      <c r="D130" s="158"/>
      <c r="E130" s="158"/>
      <c r="F130" s="157"/>
      <c r="G130" s="156"/>
      <c r="H130" s="156"/>
      <c r="I130" s="158"/>
      <c r="J130" s="158"/>
    </row>
    <row r="131" spans="1:10" x14ac:dyDescent="0.2">
      <c r="A131" s="156"/>
      <c r="B131" s="156"/>
      <c r="C131" s="156"/>
      <c r="D131" s="158"/>
      <c r="E131" s="158"/>
      <c r="F131" s="157"/>
      <c r="G131" s="156"/>
      <c r="H131" s="156"/>
      <c r="I131" s="158"/>
      <c r="J131" s="158"/>
    </row>
    <row r="132" spans="1:10" x14ac:dyDescent="0.2">
      <c r="A132" s="156"/>
      <c r="B132" s="156"/>
      <c r="C132" s="156"/>
      <c r="D132" s="158"/>
      <c r="E132" s="158"/>
      <c r="F132" s="158"/>
      <c r="G132" s="156"/>
      <c r="H132" s="156"/>
      <c r="I132" s="158"/>
      <c r="J132" s="158"/>
    </row>
    <row r="133" spans="1:10" x14ac:dyDescent="0.2">
      <c r="A133" s="156"/>
      <c r="B133" s="156"/>
      <c r="C133" s="156"/>
      <c r="D133" s="158"/>
      <c r="E133" s="158"/>
      <c r="F133" s="157"/>
      <c r="G133" s="156"/>
      <c r="H133" s="156"/>
      <c r="I133" s="158"/>
      <c r="J133" s="158"/>
    </row>
    <row r="134" spans="1:10" ht="12.75" customHeight="1" x14ac:dyDescent="0.2">
      <c r="A134" s="156"/>
      <c r="B134" s="156"/>
      <c r="C134" s="156"/>
      <c r="D134" s="158"/>
      <c r="E134" s="158"/>
      <c r="F134" s="157"/>
      <c r="G134" s="156"/>
      <c r="H134" s="156"/>
      <c r="I134" s="158"/>
      <c r="J134" s="158"/>
    </row>
    <row r="135" spans="1:10" ht="12.75" customHeight="1" x14ac:dyDescent="0.2">
      <c r="A135" s="156"/>
      <c r="B135" s="156"/>
      <c r="C135" s="156"/>
      <c r="D135" s="158"/>
      <c r="E135" s="158"/>
      <c r="F135" s="158"/>
      <c r="G135" s="156"/>
      <c r="H135" s="156"/>
      <c r="I135" s="158"/>
      <c r="J135" s="158"/>
    </row>
    <row r="136" spans="1:10" ht="12.75" customHeight="1" x14ac:dyDescent="0.2">
      <c r="A136" s="156"/>
      <c r="B136" s="156"/>
      <c r="C136" s="156"/>
      <c r="D136" s="158"/>
      <c r="E136" s="158"/>
      <c r="F136" s="157"/>
      <c r="G136" s="156"/>
      <c r="H136" s="156"/>
      <c r="I136" s="158"/>
      <c r="J136" s="158"/>
    </row>
    <row r="137" spans="1:10" ht="12.75" customHeight="1" x14ac:dyDescent="0.2">
      <c r="A137" s="156"/>
      <c r="B137" s="156"/>
      <c r="C137" s="156"/>
      <c r="D137" s="158"/>
      <c r="E137" s="158"/>
      <c r="F137" s="157"/>
      <c r="G137" s="156"/>
      <c r="H137" s="156"/>
      <c r="I137" s="158"/>
      <c r="J137" s="158"/>
    </row>
    <row r="138" spans="1:10" ht="12.75" customHeight="1" x14ac:dyDescent="0.2">
      <c r="A138" s="156"/>
      <c r="B138" s="156"/>
      <c r="C138" s="156"/>
      <c r="D138" s="158"/>
      <c r="E138" s="158"/>
      <c r="F138" s="158"/>
      <c r="G138" s="156"/>
      <c r="H138" s="156"/>
      <c r="I138" s="158"/>
      <c r="J138" s="158"/>
    </row>
    <row r="139" spans="1:10" ht="12.75" customHeight="1" x14ac:dyDescent="0.2">
      <c r="A139" s="156"/>
      <c r="B139" s="156"/>
      <c r="C139" s="156"/>
      <c r="D139" s="158"/>
      <c r="E139" s="158"/>
      <c r="F139" s="157"/>
      <c r="G139" s="156"/>
      <c r="H139" s="156"/>
      <c r="I139" s="158"/>
      <c r="J139" s="158"/>
    </row>
    <row r="140" spans="1:10" ht="12.75" customHeight="1" x14ac:dyDescent="0.2">
      <c r="A140" s="156"/>
      <c r="B140" s="156"/>
      <c r="C140" s="156"/>
      <c r="D140" s="158"/>
      <c r="E140" s="158"/>
      <c r="F140" s="157"/>
      <c r="G140" s="156"/>
      <c r="H140" s="156"/>
      <c r="I140" s="158"/>
      <c r="J140" s="158"/>
    </row>
    <row r="141" spans="1:10" ht="12.75" customHeight="1" x14ac:dyDescent="0.2">
      <c r="A141" s="156"/>
      <c r="B141" s="156"/>
      <c r="C141" s="156"/>
      <c r="D141" s="158"/>
      <c r="E141" s="158"/>
      <c r="F141" s="158"/>
      <c r="G141" s="156"/>
      <c r="H141" s="156"/>
      <c r="I141" s="158"/>
      <c r="J141" s="158"/>
    </row>
    <row r="142" spans="1:10" ht="12.75" customHeight="1" x14ac:dyDescent="0.2">
      <c r="A142" s="156"/>
      <c r="B142" s="156"/>
      <c r="C142" s="156"/>
      <c r="D142" s="158"/>
      <c r="E142" s="158"/>
      <c r="F142" s="157"/>
      <c r="G142" s="156"/>
      <c r="H142" s="156"/>
      <c r="I142" s="158"/>
      <c r="J142" s="158"/>
    </row>
    <row r="143" spans="1:10" ht="12.75" customHeight="1" x14ac:dyDescent="0.2">
      <c r="A143" s="156"/>
      <c r="B143" s="156"/>
      <c r="C143" s="156"/>
      <c r="D143" s="158"/>
      <c r="E143" s="158"/>
      <c r="F143" s="157"/>
      <c r="G143" s="156"/>
      <c r="H143" s="156"/>
      <c r="I143" s="158"/>
      <c r="J143" s="158"/>
    </row>
    <row r="144" spans="1:10" ht="12.75" customHeight="1" x14ac:dyDescent="0.2">
      <c r="A144" s="156"/>
      <c r="B144" s="156"/>
      <c r="C144" s="156"/>
      <c r="D144" s="158"/>
      <c r="E144" s="158"/>
      <c r="F144" s="158"/>
      <c r="G144" s="156"/>
      <c r="H144" s="156"/>
      <c r="I144" s="158"/>
      <c r="J144" s="158"/>
    </row>
    <row r="145" spans="1:10" ht="12.75" customHeight="1" x14ac:dyDescent="0.2">
      <c r="A145" s="156"/>
      <c r="B145" s="156"/>
      <c r="C145" s="156"/>
      <c r="D145" s="158"/>
      <c r="E145" s="158"/>
      <c r="F145" s="157"/>
      <c r="G145" s="156"/>
      <c r="H145" s="156"/>
      <c r="I145" s="158"/>
      <c r="J145" s="158"/>
    </row>
    <row r="146" spans="1:10" ht="12.75" customHeight="1" x14ac:dyDescent="0.2">
      <c r="A146" s="156"/>
      <c r="B146" s="156"/>
      <c r="C146" s="156"/>
      <c r="D146" s="158"/>
      <c r="E146" s="158"/>
      <c r="F146" s="157"/>
      <c r="G146" s="156"/>
      <c r="H146" s="156"/>
      <c r="I146" s="158"/>
      <c r="J146" s="158"/>
    </row>
    <row r="147" spans="1:10" ht="12.75" customHeight="1" x14ac:dyDescent="0.2">
      <c r="A147" s="156"/>
      <c r="B147" s="156"/>
      <c r="C147" s="156"/>
      <c r="D147" s="158"/>
      <c r="E147" s="158"/>
      <c r="F147" s="158"/>
      <c r="G147" s="156"/>
      <c r="H147" s="156"/>
      <c r="I147" s="158"/>
      <c r="J147" s="158"/>
    </row>
    <row r="148" spans="1:10" ht="12.75" customHeight="1" x14ac:dyDescent="0.2">
      <c r="A148" s="156"/>
      <c r="B148" s="156"/>
      <c r="C148" s="156"/>
      <c r="D148" s="158"/>
      <c r="E148" s="158"/>
      <c r="F148" s="157"/>
      <c r="G148" s="156"/>
      <c r="H148" s="156"/>
      <c r="I148" s="158"/>
      <c r="J148" s="158"/>
    </row>
    <row r="149" spans="1:10" ht="12.75" customHeight="1" x14ac:dyDescent="0.2">
      <c r="A149" s="156"/>
      <c r="B149" s="156"/>
      <c r="C149" s="156"/>
      <c r="D149" s="158"/>
      <c r="E149" s="158"/>
      <c r="F149" s="157"/>
      <c r="G149" s="156"/>
      <c r="H149" s="156"/>
      <c r="I149" s="158"/>
      <c r="J149" s="158"/>
    </row>
    <row r="150" spans="1:10" ht="12.75" customHeight="1" x14ac:dyDescent="0.2">
      <c r="A150" s="156"/>
      <c r="B150" s="156"/>
      <c r="C150" s="156"/>
      <c r="D150" s="158"/>
      <c r="E150" s="158"/>
      <c r="F150" s="158"/>
      <c r="G150" s="156"/>
      <c r="H150" s="156"/>
      <c r="I150" s="158"/>
      <c r="J150" s="158"/>
    </row>
    <row r="151" spans="1:10" ht="12.75" customHeight="1" x14ac:dyDescent="0.2">
      <c r="A151" s="156"/>
      <c r="B151" s="156"/>
      <c r="C151" s="156"/>
      <c r="D151" s="158"/>
      <c r="E151" s="158"/>
      <c r="F151" s="157"/>
      <c r="G151" s="156"/>
      <c r="H151" s="156"/>
      <c r="I151" s="158"/>
      <c r="J151" s="158"/>
    </row>
    <row r="152" spans="1:10" ht="12.75" customHeight="1" x14ac:dyDescent="0.2">
      <c r="A152" s="156"/>
      <c r="B152" s="156"/>
      <c r="C152" s="156"/>
      <c r="D152" s="158"/>
      <c r="E152" s="158"/>
      <c r="F152" s="157"/>
      <c r="G152" s="156"/>
      <c r="H152" s="156"/>
      <c r="I152" s="158"/>
      <c r="J152" s="158"/>
    </row>
    <row r="153" spans="1:10" ht="12.75" customHeight="1" x14ac:dyDescent="0.2">
      <c r="A153" s="156"/>
      <c r="B153" s="156"/>
      <c r="C153" s="156"/>
      <c r="D153" s="158"/>
      <c r="E153" s="158"/>
      <c r="F153" s="158"/>
      <c r="G153" s="156"/>
      <c r="H153" s="156"/>
      <c r="I153" s="158"/>
      <c r="J153" s="158"/>
    </row>
    <row r="154" spans="1:10" ht="12.75" customHeight="1" x14ac:dyDescent="0.2">
      <c r="A154" s="156"/>
      <c r="B154" s="156"/>
      <c r="C154" s="156"/>
      <c r="D154" s="158"/>
      <c r="E154" s="158"/>
      <c r="F154" s="157"/>
      <c r="G154" s="156"/>
      <c r="H154" s="156"/>
      <c r="I154" s="158"/>
      <c r="J154" s="158"/>
    </row>
    <row r="155" spans="1:10" ht="12.75" customHeight="1" x14ac:dyDescent="0.2">
      <c r="A155" s="156"/>
      <c r="B155" s="156"/>
      <c r="C155" s="156"/>
      <c r="D155" s="158"/>
      <c r="E155" s="158"/>
      <c r="F155" s="157"/>
      <c r="G155" s="156"/>
      <c r="H155" s="156"/>
      <c r="I155" s="158"/>
      <c r="J155" s="158"/>
    </row>
    <row r="156" spans="1:10" ht="12.75" customHeight="1" x14ac:dyDescent="0.2">
      <c r="A156" s="156"/>
      <c r="B156" s="156"/>
      <c r="C156" s="156"/>
      <c r="D156" s="158"/>
      <c r="E156" s="158"/>
      <c r="F156" s="158"/>
      <c r="G156" s="156"/>
      <c r="H156" s="156"/>
      <c r="I156" s="158"/>
      <c r="J156" s="158"/>
    </row>
    <row r="157" spans="1:10" ht="12.75" customHeight="1" x14ac:dyDescent="0.2">
      <c r="A157" s="156"/>
      <c r="B157" s="156"/>
      <c r="C157" s="156"/>
      <c r="D157" s="158"/>
      <c r="E157" s="158"/>
      <c r="F157" s="157"/>
      <c r="G157" s="156"/>
      <c r="H157" s="156"/>
      <c r="I157" s="158"/>
      <c r="J157" s="158"/>
    </row>
    <row r="158" spans="1:10" ht="12.75" customHeight="1" x14ac:dyDescent="0.2">
      <c r="A158" s="156"/>
      <c r="B158" s="156"/>
      <c r="C158" s="156"/>
      <c r="D158" s="158"/>
      <c r="E158" s="158"/>
      <c r="F158" s="157"/>
      <c r="G158" s="156"/>
      <c r="H158" s="156"/>
      <c r="I158" s="158"/>
      <c r="J158" s="158"/>
    </row>
    <row r="159" spans="1:10" ht="12.75" customHeight="1" x14ac:dyDescent="0.2">
      <c r="A159" s="156"/>
      <c r="B159" s="156"/>
      <c r="C159" s="156"/>
      <c r="D159" s="158"/>
      <c r="E159" s="158"/>
      <c r="F159" s="158"/>
      <c r="G159" s="156"/>
      <c r="H159" s="156"/>
      <c r="I159" s="158"/>
      <c r="J159" s="158"/>
    </row>
    <row r="160" spans="1:10" ht="12.75" customHeight="1" x14ac:dyDescent="0.2">
      <c r="A160" s="156"/>
      <c r="B160" s="156"/>
      <c r="C160" s="156"/>
      <c r="D160" s="158"/>
      <c r="E160" s="158"/>
      <c r="F160" s="157"/>
      <c r="G160" s="156"/>
      <c r="H160" s="156"/>
      <c r="I160" s="158"/>
      <c r="J160" s="158"/>
    </row>
    <row r="161" spans="1:10" ht="12.75" customHeight="1" x14ac:dyDescent="0.2">
      <c r="A161" s="156"/>
      <c r="B161" s="156"/>
      <c r="C161" s="156"/>
      <c r="D161" s="158"/>
      <c r="E161" s="158"/>
      <c r="F161" s="157"/>
      <c r="G161" s="156"/>
      <c r="H161" s="156"/>
      <c r="I161" s="158"/>
      <c r="J161" s="158"/>
    </row>
    <row r="162" spans="1:10" ht="12.75" customHeight="1" x14ac:dyDescent="0.2">
      <c r="A162" s="156"/>
      <c r="B162" s="156"/>
      <c r="C162" s="156"/>
      <c r="D162" s="158"/>
      <c r="E162" s="158"/>
      <c r="F162" s="158"/>
      <c r="G162" s="156"/>
      <c r="H162" s="156"/>
      <c r="I162" s="158"/>
      <c r="J162" s="158"/>
    </row>
    <row r="163" spans="1:10" ht="12.75" customHeight="1" x14ac:dyDescent="0.2">
      <c r="A163" s="156"/>
      <c r="B163" s="156"/>
      <c r="C163" s="156"/>
      <c r="D163" s="158"/>
      <c r="E163" s="158"/>
      <c r="F163" s="157"/>
      <c r="G163" s="156"/>
      <c r="H163" s="156"/>
      <c r="I163" s="158"/>
      <c r="J163" s="158"/>
    </row>
    <row r="164" spans="1:10" ht="12.75" customHeight="1" x14ac:dyDescent="0.2">
      <c r="A164" s="156"/>
      <c r="B164" s="156"/>
      <c r="C164" s="156"/>
      <c r="D164" s="158"/>
      <c r="E164" s="158"/>
      <c r="F164" s="157"/>
      <c r="G164" s="156"/>
      <c r="H164" s="156"/>
      <c r="I164" s="158"/>
      <c r="J164" s="158"/>
    </row>
    <row r="165" spans="1:10" ht="12.75" customHeight="1" x14ac:dyDescent="0.2">
      <c r="A165" s="156"/>
      <c r="B165" s="156"/>
      <c r="C165" s="156"/>
      <c r="D165" s="158"/>
      <c r="E165" s="158"/>
      <c r="F165" s="158"/>
      <c r="G165" s="156"/>
      <c r="H165" s="156"/>
      <c r="I165" s="158"/>
      <c r="J165" s="158"/>
    </row>
    <row r="166" spans="1:10" ht="12.75" customHeight="1" x14ac:dyDescent="0.2">
      <c r="A166" s="156"/>
      <c r="B166" s="156"/>
      <c r="C166" s="156"/>
      <c r="D166" s="158"/>
      <c r="E166" s="158"/>
      <c r="F166" s="157"/>
      <c r="G166" s="156"/>
      <c r="H166" s="156"/>
      <c r="I166" s="158"/>
      <c r="J166" s="158"/>
    </row>
    <row r="167" spans="1:10" ht="12.75" customHeight="1" x14ac:dyDescent="0.2">
      <c r="A167" s="156"/>
      <c r="B167" s="156"/>
      <c r="C167" s="156"/>
      <c r="D167" s="158"/>
      <c r="E167" s="158"/>
      <c r="F167" s="157"/>
      <c r="G167" s="156"/>
      <c r="H167" s="156"/>
      <c r="I167" s="158"/>
      <c r="J167" s="158"/>
    </row>
    <row r="168" spans="1:10" ht="12.75" customHeight="1" x14ac:dyDescent="0.2">
      <c r="A168" s="156"/>
      <c r="B168" s="156"/>
      <c r="C168" s="156"/>
      <c r="D168" s="158"/>
      <c r="E168" s="158"/>
      <c r="F168" s="158"/>
      <c r="G168" s="156"/>
      <c r="H168" s="156"/>
      <c r="I168" s="158"/>
      <c r="J168" s="158"/>
    </row>
    <row r="169" spans="1:10" ht="12.75" customHeight="1" x14ac:dyDescent="0.2">
      <c r="A169" s="156"/>
      <c r="B169" s="156"/>
      <c r="C169" s="156"/>
      <c r="D169" s="158"/>
      <c r="E169" s="158"/>
      <c r="F169" s="157"/>
      <c r="G169" s="156"/>
      <c r="H169" s="156"/>
      <c r="I169" s="158"/>
      <c r="J169" s="158"/>
    </row>
    <row r="170" spans="1:10" ht="12.75" customHeight="1" x14ac:dyDescent="0.2">
      <c r="A170" s="156"/>
      <c r="B170" s="156"/>
      <c r="C170" s="156"/>
      <c r="D170" s="158"/>
      <c r="E170" s="158"/>
      <c r="F170" s="157"/>
      <c r="G170" s="156"/>
      <c r="H170" s="156"/>
      <c r="I170" s="158"/>
      <c r="J170" s="158"/>
    </row>
    <row r="171" spans="1:10" ht="12.75" customHeight="1" x14ac:dyDescent="0.2">
      <c r="A171" s="156"/>
      <c r="B171" s="156"/>
      <c r="C171" s="156"/>
      <c r="D171" s="158"/>
      <c r="E171" s="158"/>
      <c r="F171" s="158"/>
      <c r="G171" s="156"/>
      <c r="H171" s="156"/>
      <c r="I171" s="158"/>
      <c r="J171" s="158"/>
    </row>
    <row r="172" spans="1:10" ht="12.75" customHeight="1" x14ac:dyDescent="0.2">
      <c r="A172" s="156"/>
      <c r="B172" s="156"/>
      <c r="C172" s="156"/>
      <c r="D172" s="158"/>
      <c r="E172" s="158"/>
      <c r="F172" s="157"/>
      <c r="G172" s="156"/>
      <c r="H172" s="156"/>
      <c r="I172" s="158"/>
      <c r="J172" s="158"/>
    </row>
    <row r="173" spans="1:10" ht="12.75" customHeight="1" x14ac:dyDescent="0.2">
      <c r="A173" s="156"/>
      <c r="B173" s="156"/>
      <c r="C173" s="156"/>
      <c r="D173" s="158"/>
      <c r="E173" s="158"/>
      <c r="F173" s="157"/>
      <c r="G173" s="156"/>
      <c r="H173" s="156"/>
      <c r="I173" s="158"/>
      <c r="J173" s="158"/>
    </row>
    <row r="174" spans="1:10" ht="12.75" customHeight="1" x14ac:dyDescent="0.2">
      <c r="A174" s="156"/>
      <c r="B174" s="156"/>
      <c r="C174" s="156"/>
      <c r="D174" s="158"/>
      <c r="E174" s="158"/>
      <c r="F174" s="158"/>
      <c r="G174" s="156"/>
      <c r="H174" s="156"/>
      <c r="I174" s="158"/>
      <c r="J174" s="158"/>
    </row>
    <row r="175" spans="1:10" ht="12.75" customHeight="1" x14ac:dyDescent="0.2">
      <c r="A175" s="156"/>
      <c r="B175" s="156"/>
      <c r="C175" s="156"/>
      <c r="D175" s="158"/>
      <c r="E175" s="158"/>
      <c r="F175" s="157"/>
      <c r="G175" s="156"/>
      <c r="H175" s="156"/>
      <c r="I175" s="158"/>
      <c r="J175" s="158"/>
    </row>
    <row r="176" spans="1:10" ht="12.75" customHeight="1" x14ac:dyDescent="0.2">
      <c r="A176" s="156"/>
      <c r="B176" s="156"/>
      <c r="C176" s="156"/>
      <c r="D176" s="158"/>
      <c r="E176" s="158"/>
      <c r="F176" s="157"/>
      <c r="G176" s="156"/>
      <c r="H176" s="156"/>
      <c r="I176" s="158"/>
      <c r="J176" s="158"/>
    </row>
    <row r="177" spans="1:10" ht="12.75" customHeight="1" x14ac:dyDescent="0.2">
      <c r="A177" s="156"/>
      <c r="B177" s="156"/>
      <c r="C177" s="156"/>
      <c r="D177" s="158"/>
      <c r="E177" s="158"/>
      <c r="F177" s="158"/>
      <c r="G177" s="156"/>
      <c r="H177" s="156"/>
      <c r="I177" s="158"/>
      <c r="J177" s="158"/>
    </row>
    <row r="178" spans="1:10" ht="12.75" customHeight="1" x14ac:dyDescent="0.2">
      <c r="A178" s="156"/>
      <c r="B178" s="156"/>
      <c r="C178" s="156"/>
      <c r="D178" s="158"/>
      <c r="E178" s="158"/>
      <c r="F178" s="157"/>
      <c r="G178" s="156"/>
      <c r="H178" s="156"/>
      <c r="I178" s="158"/>
      <c r="J178" s="158"/>
    </row>
    <row r="179" spans="1:10" ht="12.75" customHeight="1" x14ac:dyDescent="0.2">
      <c r="A179" s="156"/>
      <c r="B179" s="156"/>
      <c r="C179" s="156"/>
      <c r="D179" s="158"/>
      <c r="E179" s="158"/>
      <c r="F179" s="157"/>
      <c r="G179" s="156"/>
      <c r="H179" s="156"/>
      <c r="I179" s="158"/>
      <c r="J179" s="158"/>
    </row>
    <row r="180" spans="1:10" ht="12.75" customHeight="1" x14ac:dyDescent="0.2">
      <c r="A180" s="156"/>
      <c r="B180" s="156"/>
      <c r="C180" s="156"/>
      <c r="D180" s="158"/>
      <c r="E180" s="158"/>
      <c r="F180" s="158"/>
      <c r="G180" s="156"/>
      <c r="H180" s="156"/>
      <c r="I180" s="158"/>
      <c r="J180" s="158"/>
    </row>
    <row r="181" spans="1:10" ht="12.75" customHeight="1" x14ac:dyDescent="0.2">
      <c r="A181" s="156"/>
      <c r="B181" s="156"/>
      <c r="C181" s="156"/>
      <c r="D181" s="158"/>
      <c r="E181" s="158"/>
      <c r="F181" s="157"/>
      <c r="G181" s="156"/>
      <c r="H181" s="156"/>
      <c r="I181" s="158"/>
      <c r="J181" s="158"/>
    </row>
    <row r="182" spans="1:10" ht="12.75" customHeight="1" x14ac:dyDescent="0.2">
      <c r="A182" s="156"/>
      <c r="B182" s="156"/>
      <c r="C182" s="156"/>
      <c r="D182" s="158"/>
      <c r="E182" s="158"/>
      <c r="F182" s="157"/>
      <c r="G182" s="156"/>
      <c r="H182" s="156"/>
      <c r="I182" s="158"/>
      <c r="J182" s="158"/>
    </row>
    <row r="183" spans="1:10" ht="12.75" customHeight="1" x14ac:dyDescent="0.2">
      <c r="A183" s="156"/>
      <c r="B183" s="156"/>
      <c r="C183" s="156"/>
      <c r="D183" s="158"/>
      <c r="E183" s="158"/>
      <c r="F183" s="158"/>
      <c r="G183" s="156"/>
      <c r="H183" s="156"/>
      <c r="I183" s="158"/>
      <c r="J183" s="158"/>
    </row>
    <row r="184" spans="1:10" ht="12.75" customHeight="1" x14ac:dyDescent="0.2">
      <c r="A184" s="156"/>
      <c r="B184" s="156"/>
      <c r="C184" s="156"/>
      <c r="D184" s="158"/>
      <c r="E184" s="158"/>
      <c r="F184" s="157"/>
      <c r="G184" s="156"/>
      <c r="H184" s="156"/>
      <c r="I184" s="158"/>
      <c r="J184" s="158"/>
    </row>
    <row r="185" spans="1:10" ht="12.75" customHeight="1" x14ac:dyDescent="0.2">
      <c r="A185" s="156"/>
      <c r="B185" s="156"/>
      <c r="C185" s="156"/>
      <c r="D185" s="158"/>
      <c r="E185" s="158"/>
      <c r="F185" s="157"/>
      <c r="G185" s="156"/>
      <c r="H185" s="156"/>
      <c r="I185" s="158"/>
      <c r="J185" s="158"/>
    </row>
    <row r="186" spans="1:10" ht="12.75" customHeight="1" x14ac:dyDescent="0.2">
      <c r="A186" s="156"/>
      <c r="B186" s="156"/>
      <c r="C186" s="156"/>
      <c r="D186" s="158"/>
      <c r="E186" s="158"/>
      <c r="F186" s="158"/>
      <c r="G186" s="156"/>
      <c r="H186" s="156"/>
      <c r="I186" s="158"/>
      <c r="J186" s="158"/>
    </row>
    <row r="187" spans="1:10" ht="12.75" customHeight="1" x14ac:dyDescent="0.2">
      <c r="A187" s="156"/>
      <c r="B187" s="156"/>
      <c r="C187" s="156"/>
      <c r="D187" s="158"/>
      <c r="E187" s="158"/>
      <c r="F187" s="157"/>
      <c r="G187" s="156"/>
      <c r="H187" s="156"/>
      <c r="I187" s="158"/>
      <c r="J187" s="158"/>
    </row>
    <row r="188" spans="1:10" ht="12.75" customHeight="1" x14ac:dyDescent="0.2">
      <c r="A188" s="156"/>
      <c r="B188" s="156"/>
      <c r="C188" s="156"/>
      <c r="D188" s="158"/>
      <c r="E188" s="158"/>
      <c r="F188" s="157"/>
      <c r="G188" s="156"/>
      <c r="H188" s="156"/>
      <c r="I188" s="158"/>
      <c r="J188" s="158"/>
    </row>
    <row r="189" spans="1:10" ht="12.75" customHeight="1" x14ac:dyDescent="0.2">
      <c r="A189" s="156"/>
      <c r="B189" s="156"/>
      <c r="C189" s="156"/>
      <c r="D189" s="158"/>
      <c r="E189" s="158"/>
      <c r="F189" s="158"/>
      <c r="G189" s="156"/>
      <c r="H189" s="156"/>
      <c r="I189" s="158"/>
      <c r="J189" s="158"/>
    </row>
    <row r="190" spans="1:10" ht="12.75" customHeight="1" x14ac:dyDescent="0.2">
      <c r="A190" s="156"/>
      <c r="B190" s="156"/>
      <c r="C190" s="156"/>
      <c r="D190" s="158"/>
      <c r="E190" s="158"/>
      <c r="F190" s="157"/>
      <c r="G190" s="156"/>
      <c r="H190" s="156"/>
      <c r="I190" s="158"/>
      <c r="J190" s="158"/>
    </row>
    <row r="191" spans="1:10" ht="12.75" customHeight="1" x14ac:dyDescent="0.2">
      <c r="A191" s="156"/>
      <c r="B191" s="156"/>
      <c r="C191" s="156"/>
      <c r="D191" s="158"/>
      <c r="E191" s="158"/>
      <c r="F191" s="157"/>
      <c r="G191" s="156"/>
      <c r="H191" s="156"/>
      <c r="I191" s="158"/>
      <c r="J191" s="158"/>
    </row>
    <row r="192" spans="1:10" ht="12.75" customHeight="1" x14ac:dyDescent="0.2">
      <c r="A192" s="156"/>
      <c r="B192" s="156"/>
      <c r="C192" s="156"/>
      <c r="D192" s="158"/>
      <c r="E192" s="158"/>
      <c r="F192" s="158"/>
      <c r="G192" s="156"/>
      <c r="H192" s="156"/>
      <c r="I192" s="158"/>
      <c r="J192" s="158"/>
    </row>
    <row r="193" spans="1:10" ht="12.75" customHeight="1" x14ac:dyDescent="0.2">
      <c r="A193" s="156"/>
      <c r="B193" s="156"/>
      <c r="C193" s="156"/>
      <c r="D193" s="158"/>
      <c r="E193" s="158"/>
      <c r="F193" s="157"/>
      <c r="G193" s="156"/>
      <c r="H193" s="156"/>
      <c r="I193" s="158"/>
      <c r="J193" s="158"/>
    </row>
    <row r="194" spans="1:10" ht="12.75" customHeight="1" x14ac:dyDescent="0.2">
      <c r="A194" s="156"/>
      <c r="B194" s="156"/>
      <c r="C194" s="156"/>
      <c r="D194" s="158"/>
      <c r="E194" s="158"/>
      <c r="F194" s="157"/>
      <c r="G194" s="156"/>
      <c r="H194" s="156"/>
      <c r="I194" s="158"/>
      <c r="J194" s="158"/>
    </row>
    <row r="195" spans="1:10" ht="12.75" customHeight="1" x14ac:dyDescent="0.2">
      <c r="A195" s="156"/>
      <c r="B195" s="156"/>
      <c r="C195" s="156"/>
      <c r="D195" s="158"/>
      <c r="E195" s="158"/>
      <c r="F195" s="158"/>
      <c r="G195" s="156"/>
      <c r="H195" s="156"/>
      <c r="I195" s="158"/>
      <c r="J195" s="158"/>
    </row>
    <row r="196" spans="1:10" ht="12.75" customHeight="1" x14ac:dyDescent="0.2">
      <c r="A196" s="156"/>
      <c r="B196" s="156"/>
      <c r="C196" s="156"/>
      <c r="D196" s="158"/>
      <c r="E196" s="158"/>
      <c r="F196" s="157"/>
      <c r="G196" s="156"/>
      <c r="H196" s="156"/>
      <c r="I196" s="158"/>
      <c r="J196" s="158"/>
    </row>
    <row r="197" spans="1:10" ht="12.75" customHeight="1" x14ac:dyDescent="0.2">
      <c r="A197" s="156"/>
      <c r="B197" s="156"/>
      <c r="C197" s="156"/>
      <c r="D197" s="158"/>
      <c r="E197" s="158"/>
      <c r="F197" s="157"/>
      <c r="G197" s="156"/>
      <c r="H197" s="156"/>
      <c r="I197" s="158"/>
      <c r="J197" s="158"/>
    </row>
    <row r="198" spans="1:10" ht="12.75" customHeight="1" x14ac:dyDescent="0.2">
      <c r="A198" s="156"/>
      <c r="B198" s="156"/>
      <c r="C198" s="156"/>
      <c r="D198" s="158"/>
      <c r="E198" s="158"/>
      <c r="F198" s="158"/>
      <c r="G198" s="156"/>
      <c r="H198" s="156"/>
      <c r="I198" s="158"/>
      <c r="J198" s="158"/>
    </row>
    <row r="199" spans="1:10" ht="12.75" customHeight="1" x14ac:dyDescent="0.2">
      <c r="A199" s="156"/>
      <c r="B199" s="156"/>
      <c r="C199" s="156"/>
      <c r="D199" s="158"/>
      <c r="E199" s="158"/>
      <c r="F199" s="157"/>
      <c r="G199" s="156"/>
      <c r="H199" s="156"/>
      <c r="I199" s="158"/>
      <c r="J199" s="158"/>
    </row>
    <row r="200" spans="1:10" ht="12.75" customHeight="1" x14ac:dyDescent="0.2">
      <c r="A200" s="156"/>
      <c r="B200" s="156"/>
      <c r="C200" s="156"/>
      <c r="D200" s="158"/>
      <c r="E200" s="158"/>
      <c r="F200" s="157"/>
      <c r="G200" s="156"/>
      <c r="H200" s="156"/>
      <c r="I200" s="158"/>
      <c r="J200" s="158"/>
    </row>
    <row r="201" spans="1:10" ht="12.75" customHeight="1" x14ac:dyDescent="0.2">
      <c r="A201" s="156"/>
      <c r="B201" s="156"/>
      <c r="C201" s="156"/>
      <c r="D201" s="158"/>
      <c r="E201" s="158"/>
      <c r="F201" s="158"/>
      <c r="G201" s="156"/>
      <c r="H201" s="156"/>
      <c r="I201" s="158"/>
      <c r="J201" s="158"/>
    </row>
    <row r="202" spans="1:10" ht="12.75" customHeight="1" x14ac:dyDescent="0.2">
      <c r="A202" s="156"/>
      <c r="B202" s="156"/>
      <c r="C202" s="156"/>
      <c r="D202" s="158"/>
      <c r="E202" s="158"/>
      <c r="F202" s="157"/>
      <c r="G202" s="156"/>
      <c r="H202" s="156"/>
      <c r="I202" s="158"/>
      <c r="J202" s="158"/>
    </row>
    <row r="203" spans="1:10" ht="12.75" customHeight="1" x14ac:dyDescent="0.2">
      <c r="A203" s="156"/>
      <c r="B203" s="156"/>
      <c r="C203" s="156"/>
      <c r="D203" s="158"/>
      <c r="E203" s="158"/>
      <c r="F203" s="157"/>
      <c r="G203" s="156"/>
      <c r="H203" s="156"/>
      <c r="I203" s="158"/>
      <c r="J203" s="158"/>
    </row>
    <row r="204" spans="1:10" ht="12.75" customHeight="1" x14ac:dyDescent="0.2">
      <c r="A204" s="156"/>
      <c r="B204" s="156"/>
      <c r="C204" s="156"/>
      <c r="D204" s="158"/>
      <c r="E204" s="158"/>
      <c r="F204" s="158"/>
      <c r="G204" s="156"/>
      <c r="H204" s="156"/>
      <c r="I204" s="158"/>
      <c r="J204" s="158"/>
    </row>
    <row r="205" spans="1:10" ht="12.75" customHeight="1" x14ac:dyDescent="0.2">
      <c r="A205" s="156"/>
      <c r="B205" s="156"/>
      <c r="C205" s="156"/>
      <c r="D205" s="158"/>
      <c r="E205" s="158"/>
      <c r="F205" s="157"/>
      <c r="G205" s="156"/>
      <c r="H205" s="156"/>
      <c r="I205" s="158"/>
      <c r="J205" s="158"/>
    </row>
    <row r="206" spans="1:10" ht="12.75" customHeight="1" x14ac:dyDescent="0.2">
      <c r="A206" s="156"/>
      <c r="B206" s="156"/>
      <c r="C206" s="156"/>
      <c r="D206" s="158"/>
      <c r="E206" s="158"/>
      <c r="F206" s="157"/>
      <c r="G206" s="156"/>
      <c r="H206" s="156"/>
      <c r="I206" s="158"/>
      <c r="J206" s="158"/>
    </row>
    <row r="207" spans="1:10" ht="12.75" customHeight="1" x14ac:dyDescent="0.2">
      <c r="A207" s="156"/>
      <c r="B207" s="156"/>
      <c r="C207" s="156"/>
      <c r="D207" s="158"/>
      <c r="E207" s="158"/>
      <c r="F207" s="158"/>
      <c r="G207" s="156"/>
      <c r="H207" s="156"/>
      <c r="I207" s="158"/>
      <c r="J207" s="158"/>
    </row>
    <row r="208" spans="1:10" ht="12.75" customHeight="1" x14ac:dyDescent="0.2">
      <c r="A208" s="156"/>
      <c r="B208" s="156"/>
      <c r="C208" s="156"/>
      <c r="D208" s="158"/>
      <c r="E208" s="158"/>
      <c r="F208" s="157"/>
      <c r="G208" s="156"/>
      <c r="H208" s="156"/>
      <c r="I208" s="158"/>
      <c r="J208" s="158"/>
    </row>
    <row r="209" spans="1:10" ht="12.75" customHeight="1" x14ac:dyDescent="0.2">
      <c r="A209" s="156"/>
      <c r="B209" s="156"/>
      <c r="C209" s="156"/>
      <c r="D209" s="158"/>
      <c r="E209" s="158"/>
      <c r="F209" s="157"/>
      <c r="G209" s="156"/>
      <c r="H209" s="156"/>
      <c r="I209" s="158"/>
      <c r="J209" s="158"/>
    </row>
    <row r="210" spans="1:10" ht="12.75" customHeight="1" x14ac:dyDescent="0.2">
      <c r="A210" s="156"/>
      <c r="B210" s="156"/>
      <c r="C210" s="156"/>
      <c r="D210" s="158"/>
      <c r="E210" s="158"/>
      <c r="F210" s="158"/>
      <c r="G210" s="156"/>
      <c r="H210" s="156"/>
      <c r="I210" s="158"/>
      <c r="J210" s="158"/>
    </row>
    <row r="211" spans="1:10" ht="12.75" customHeight="1" x14ac:dyDescent="0.2">
      <c r="A211" s="156"/>
      <c r="B211" s="156"/>
      <c r="C211" s="156"/>
      <c r="D211" s="158"/>
      <c r="E211" s="158"/>
      <c r="F211" s="157"/>
      <c r="G211" s="156"/>
      <c r="H211" s="156"/>
      <c r="I211" s="158"/>
      <c r="J211" s="158"/>
    </row>
    <row r="212" spans="1:10" ht="12.75" customHeight="1" x14ac:dyDescent="0.2">
      <c r="A212" s="156"/>
      <c r="B212" s="156"/>
      <c r="C212" s="156"/>
      <c r="D212" s="158"/>
      <c r="E212" s="158"/>
      <c r="F212" s="157"/>
      <c r="G212" s="156"/>
      <c r="H212" s="156"/>
      <c r="I212" s="158"/>
      <c r="J212" s="158"/>
    </row>
    <row r="213" spans="1:10" ht="12.75" customHeight="1" x14ac:dyDescent="0.2">
      <c r="A213" s="156"/>
      <c r="B213" s="156"/>
      <c r="C213" s="156"/>
      <c r="D213" s="158"/>
      <c r="E213" s="158"/>
      <c r="F213" s="158"/>
      <c r="G213" s="156"/>
      <c r="H213" s="156"/>
      <c r="I213" s="158"/>
      <c r="J213" s="158"/>
    </row>
    <row r="214" spans="1:10" ht="12.75" customHeight="1" x14ac:dyDescent="0.2">
      <c r="A214" s="156"/>
      <c r="B214" s="156"/>
      <c r="C214" s="156"/>
      <c r="D214" s="158"/>
      <c r="E214" s="158"/>
      <c r="F214" s="157"/>
      <c r="G214" s="156"/>
      <c r="H214" s="156"/>
      <c r="I214" s="158"/>
      <c r="J214" s="158"/>
    </row>
    <row r="215" spans="1:10" ht="12.75" customHeight="1" x14ac:dyDescent="0.2">
      <c r="A215" s="156"/>
      <c r="B215" s="156"/>
      <c r="C215" s="156"/>
      <c r="D215" s="158"/>
      <c r="E215" s="158"/>
      <c r="F215" s="157"/>
      <c r="G215" s="156"/>
      <c r="H215" s="156"/>
      <c r="I215" s="158"/>
      <c r="J215" s="158"/>
    </row>
    <row r="216" spans="1:10" ht="12.75" customHeight="1" x14ac:dyDescent="0.2">
      <c r="A216" s="156"/>
      <c r="B216" s="156"/>
      <c r="C216" s="156"/>
      <c r="D216" s="158"/>
      <c r="E216" s="158"/>
      <c r="F216" s="158"/>
      <c r="G216" s="156"/>
      <c r="H216" s="156"/>
      <c r="I216" s="158"/>
      <c r="J216" s="158"/>
    </row>
    <row r="217" spans="1:10" ht="12.75" customHeight="1" x14ac:dyDescent="0.2">
      <c r="A217" s="156"/>
      <c r="B217" s="156"/>
      <c r="C217" s="156"/>
      <c r="D217" s="158"/>
      <c r="E217" s="158"/>
      <c r="F217" s="157"/>
      <c r="G217" s="156"/>
      <c r="H217" s="156"/>
      <c r="I217" s="158"/>
      <c r="J217" s="158"/>
    </row>
    <row r="218" spans="1:10" ht="12.75" customHeight="1" x14ac:dyDescent="0.2">
      <c r="A218" s="156"/>
      <c r="B218" s="156"/>
      <c r="C218" s="156"/>
      <c r="D218" s="158"/>
      <c r="E218" s="158"/>
      <c r="F218" s="157"/>
      <c r="G218" s="156"/>
      <c r="H218" s="156"/>
      <c r="I218" s="158"/>
      <c r="J218" s="158"/>
    </row>
    <row r="219" spans="1:10" ht="12.75" customHeight="1" x14ac:dyDescent="0.2">
      <c r="A219" s="156"/>
      <c r="B219" s="156"/>
      <c r="C219" s="156"/>
      <c r="D219" s="158"/>
      <c r="E219" s="158"/>
      <c r="F219" s="158"/>
      <c r="G219" s="156"/>
      <c r="H219" s="156"/>
      <c r="I219" s="158"/>
      <c r="J219" s="158"/>
    </row>
    <row r="220" spans="1:10" ht="12.75" customHeight="1" x14ac:dyDescent="0.2">
      <c r="A220" s="156"/>
      <c r="B220" s="156"/>
      <c r="C220" s="156"/>
      <c r="D220" s="158"/>
      <c r="E220" s="158"/>
      <c r="F220" s="157"/>
      <c r="G220" s="156"/>
      <c r="H220" s="156"/>
      <c r="I220" s="158"/>
      <c r="J220" s="158"/>
    </row>
    <row r="221" spans="1:10" ht="12.75" customHeight="1" x14ac:dyDescent="0.2">
      <c r="A221" s="156"/>
      <c r="B221" s="156"/>
      <c r="C221" s="156"/>
      <c r="D221" s="158"/>
      <c r="E221" s="158"/>
      <c r="F221" s="157"/>
      <c r="G221" s="156"/>
      <c r="H221" s="156"/>
      <c r="I221" s="158"/>
      <c r="J221" s="158"/>
    </row>
    <row r="222" spans="1:10" ht="12.75" customHeight="1" x14ac:dyDescent="0.2">
      <c r="A222" s="156"/>
      <c r="B222" s="156"/>
      <c r="C222" s="156"/>
      <c r="D222" s="158"/>
      <c r="E222" s="158"/>
      <c r="F222" s="158"/>
      <c r="G222" s="156"/>
      <c r="H222" s="156"/>
      <c r="I222" s="158"/>
      <c r="J222" s="158"/>
    </row>
    <row r="223" spans="1:10" ht="12.75" customHeight="1" x14ac:dyDescent="0.2">
      <c r="A223" s="156"/>
      <c r="B223" s="156"/>
      <c r="C223" s="156"/>
      <c r="D223" s="158"/>
      <c r="E223" s="158"/>
      <c r="F223" s="157"/>
      <c r="G223" s="156"/>
      <c r="H223" s="156"/>
      <c r="I223" s="158"/>
      <c r="J223" s="158"/>
    </row>
    <row r="224" spans="1:10" ht="12.75" customHeight="1" x14ac:dyDescent="0.2">
      <c r="A224" s="156"/>
      <c r="B224" s="156"/>
      <c r="C224" s="156"/>
      <c r="D224" s="158"/>
      <c r="E224" s="158"/>
      <c r="F224" s="157"/>
      <c r="G224" s="156"/>
      <c r="H224" s="156"/>
      <c r="I224" s="158"/>
      <c r="J224" s="158"/>
    </row>
    <row r="225" spans="1:10" ht="12.75" customHeight="1" x14ac:dyDescent="0.2">
      <c r="A225" s="156"/>
      <c r="B225" s="156"/>
      <c r="C225" s="156"/>
      <c r="D225" s="158"/>
      <c r="E225" s="158"/>
      <c r="F225" s="158"/>
      <c r="G225" s="156"/>
      <c r="H225" s="156"/>
      <c r="I225" s="158"/>
      <c r="J225" s="158"/>
    </row>
    <row r="226" spans="1:10" ht="12.75" customHeight="1" x14ac:dyDescent="0.2">
      <c r="A226" s="156"/>
      <c r="B226" s="156"/>
      <c r="C226" s="156"/>
      <c r="D226" s="158"/>
      <c r="E226" s="158"/>
      <c r="F226" s="157"/>
      <c r="G226" s="156"/>
      <c r="H226" s="156"/>
      <c r="I226" s="158"/>
      <c r="J226" s="158"/>
    </row>
    <row r="227" spans="1:10" ht="12.75" customHeight="1" x14ac:dyDescent="0.2">
      <c r="A227" s="156"/>
      <c r="B227" s="156"/>
      <c r="C227" s="156"/>
      <c r="D227" s="158"/>
      <c r="E227" s="158"/>
      <c r="F227" s="157"/>
      <c r="G227" s="156"/>
      <c r="H227" s="156"/>
      <c r="I227" s="158"/>
      <c r="J227" s="158"/>
    </row>
    <row r="228" spans="1:10" ht="12.75" customHeight="1" x14ac:dyDescent="0.2">
      <c r="A228" s="156"/>
      <c r="B228" s="156"/>
      <c r="C228" s="156"/>
      <c r="D228" s="158"/>
      <c r="E228" s="158"/>
      <c r="F228" s="158"/>
      <c r="G228" s="156"/>
      <c r="H228" s="156"/>
      <c r="I228" s="158"/>
      <c r="J228" s="158"/>
    </row>
    <row r="229" spans="1:10" ht="12.75" customHeight="1" x14ac:dyDescent="0.2">
      <c r="A229" s="156"/>
      <c r="B229" s="156"/>
      <c r="C229" s="156"/>
      <c r="D229" s="158"/>
      <c r="E229" s="158"/>
      <c r="F229" s="157"/>
      <c r="G229" s="156"/>
      <c r="H229" s="156"/>
      <c r="I229" s="158"/>
      <c r="J229" s="158"/>
    </row>
    <row r="230" spans="1:10" ht="12.75" customHeight="1" x14ac:dyDescent="0.2">
      <c r="A230" s="156"/>
      <c r="B230" s="156"/>
      <c r="C230" s="156"/>
      <c r="D230" s="158"/>
      <c r="E230" s="158"/>
      <c r="F230" s="157"/>
      <c r="G230" s="156"/>
      <c r="H230" s="156"/>
      <c r="I230" s="158"/>
      <c r="J230" s="158"/>
    </row>
    <row r="231" spans="1:10" ht="12.75" customHeight="1" x14ac:dyDescent="0.2">
      <c r="A231" s="156"/>
      <c r="B231" s="156"/>
      <c r="C231" s="156"/>
      <c r="D231" s="158"/>
      <c r="E231" s="158"/>
      <c r="F231" s="158"/>
      <c r="G231" s="156"/>
      <c r="H231" s="156"/>
      <c r="I231" s="158"/>
      <c r="J231" s="158"/>
    </row>
    <row r="232" spans="1:10" ht="12.75" customHeight="1" x14ac:dyDescent="0.2">
      <c r="A232" s="156"/>
      <c r="B232" s="156"/>
      <c r="C232" s="156"/>
      <c r="D232" s="158"/>
      <c r="E232" s="158"/>
      <c r="F232" s="157"/>
      <c r="G232" s="156"/>
      <c r="H232" s="156"/>
      <c r="I232" s="158"/>
      <c r="J232" s="158"/>
    </row>
    <row r="233" spans="1:10" ht="12.75" customHeight="1" x14ac:dyDescent="0.2">
      <c r="A233" s="156"/>
      <c r="B233" s="156"/>
      <c r="C233" s="156"/>
      <c r="D233" s="158"/>
      <c r="E233" s="158"/>
      <c r="F233" s="157"/>
      <c r="G233" s="156"/>
      <c r="H233" s="156"/>
      <c r="I233" s="158"/>
      <c r="J233" s="158"/>
    </row>
    <row r="234" spans="1:10" ht="12.75" customHeight="1" x14ac:dyDescent="0.2">
      <c r="A234" s="156"/>
      <c r="B234" s="156"/>
      <c r="C234" s="156"/>
      <c r="D234" s="158"/>
      <c r="E234" s="158"/>
      <c r="F234" s="158"/>
      <c r="G234" s="156"/>
      <c r="H234" s="156"/>
      <c r="I234" s="158"/>
      <c r="J234" s="158"/>
    </row>
    <row r="235" spans="1:10" ht="12.75" customHeight="1" x14ac:dyDescent="0.2">
      <c r="A235" s="156"/>
      <c r="B235" s="156"/>
      <c r="C235" s="156"/>
      <c r="D235" s="158"/>
      <c r="E235" s="158"/>
      <c r="F235" s="157"/>
      <c r="G235" s="156"/>
      <c r="H235" s="156"/>
      <c r="I235" s="158"/>
      <c r="J235" s="158"/>
    </row>
    <row r="236" spans="1:10" ht="12.75" customHeight="1" x14ac:dyDescent="0.2">
      <c r="A236" s="156"/>
      <c r="B236" s="156"/>
      <c r="C236" s="156"/>
      <c r="D236" s="158"/>
      <c r="E236" s="158"/>
      <c r="F236" s="157"/>
      <c r="G236" s="156"/>
      <c r="H236" s="156"/>
      <c r="I236" s="158"/>
      <c r="J236" s="158"/>
    </row>
    <row r="237" spans="1:10" ht="12.75" customHeight="1" x14ac:dyDescent="0.2">
      <c r="A237" s="156"/>
      <c r="B237" s="156"/>
      <c r="C237" s="156"/>
      <c r="D237" s="158"/>
      <c r="E237" s="158"/>
      <c r="F237" s="158"/>
      <c r="G237" s="156"/>
      <c r="H237" s="156"/>
      <c r="I237" s="158"/>
      <c r="J237" s="158"/>
    </row>
    <row r="238" spans="1:10" ht="12.75" customHeight="1" x14ac:dyDescent="0.2">
      <c r="A238" s="156"/>
      <c r="B238" s="156"/>
      <c r="C238" s="156"/>
      <c r="D238" s="158"/>
      <c r="E238" s="158"/>
      <c r="F238" s="157"/>
      <c r="G238" s="156"/>
      <c r="H238" s="156"/>
      <c r="I238" s="158"/>
      <c r="J238" s="158"/>
    </row>
    <row r="239" spans="1:10" ht="12.75" customHeight="1" x14ac:dyDescent="0.2">
      <c r="A239" s="156"/>
      <c r="B239" s="156"/>
      <c r="C239" s="156"/>
      <c r="D239" s="158"/>
      <c r="E239" s="158"/>
      <c r="F239" s="157"/>
      <c r="G239" s="156"/>
      <c r="H239" s="156"/>
      <c r="I239" s="158"/>
      <c r="J239" s="158"/>
    </row>
    <row r="240" spans="1:10" ht="12.75" customHeight="1" x14ac:dyDescent="0.2">
      <c r="A240" s="156"/>
      <c r="B240" s="156"/>
      <c r="C240" s="156"/>
      <c r="D240" s="158"/>
      <c r="E240" s="158"/>
      <c r="F240" s="158"/>
      <c r="G240" s="156"/>
      <c r="H240" s="156"/>
      <c r="I240" s="158"/>
      <c r="J240" s="158"/>
    </row>
    <row r="241" spans="1:10" ht="12.75" customHeight="1" x14ac:dyDescent="0.2">
      <c r="A241" s="156"/>
      <c r="B241" s="156"/>
      <c r="C241" s="156"/>
      <c r="D241" s="158"/>
      <c r="E241" s="158"/>
      <c r="F241" s="157"/>
      <c r="G241" s="156"/>
      <c r="H241" s="156"/>
      <c r="I241" s="158"/>
      <c r="J241" s="158"/>
    </row>
    <row r="242" spans="1:10" ht="12.75" customHeight="1" x14ac:dyDescent="0.2">
      <c r="A242" s="156"/>
      <c r="B242" s="156"/>
      <c r="C242" s="156"/>
      <c r="D242" s="158"/>
      <c r="E242" s="158"/>
      <c r="F242" s="157"/>
      <c r="G242" s="156"/>
      <c r="H242" s="156"/>
      <c r="I242" s="158"/>
      <c r="J242" s="158"/>
    </row>
    <row r="243" spans="1:10" ht="12.75" customHeight="1" x14ac:dyDescent="0.2">
      <c r="A243" s="156"/>
      <c r="B243" s="156"/>
      <c r="C243" s="156"/>
      <c r="D243" s="158"/>
      <c r="E243" s="158"/>
      <c r="F243" s="158"/>
      <c r="G243" s="156"/>
      <c r="H243" s="156"/>
      <c r="I243" s="158"/>
      <c r="J243" s="158"/>
    </row>
    <row r="244" spans="1:10" ht="12.75" customHeight="1" x14ac:dyDescent="0.2">
      <c r="A244" s="156"/>
      <c r="B244" s="156"/>
      <c r="C244" s="156"/>
      <c r="D244" s="158"/>
      <c r="E244" s="158"/>
      <c r="F244" s="157"/>
      <c r="G244" s="156"/>
      <c r="H244" s="156"/>
      <c r="I244" s="158"/>
      <c r="J244" s="158"/>
    </row>
    <row r="245" spans="1:10" ht="12.75" customHeight="1" x14ac:dyDescent="0.2">
      <c r="A245" s="156"/>
      <c r="B245" s="156"/>
      <c r="C245" s="156"/>
      <c r="D245" s="158"/>
      <c r="E245" s="158"/>
      <c r="F245" s="157"/>
      <c r="G245" s="156"/>
      <c r="H245" s="156"/>
      <c r="I245" s="158"/>
      <c r="J245" s="158"/>
    </row>
    <row r="246" spans="1:10" ht="12.75" customHeight="1" x14ac:dyDescent="0.2">
      <c r="A246" s="156"/>
      <c r="B246" s="156"/>
      <c r="C246" s="156"/>
      <c r="D246" s="158"/>
      <c r="E246" s="158"/>
      <c r="F246" s="158"/>
      <c r="G246" s="156"/>
      <c r="H246" s="156"/>
      <c r="I246" s="158"/>
      <c r="J246" s="158"/>
    </row>
    <row r="247" spans="1:10" ht="12.75" customHeight="1" x14ac:dyDescent="0.2">
      <c r="A247" s="156"/>
      <c r="B247" s="156"/>
      <c r="C247" s="156"/>
      <c r="D247" s="158"/>
      <c r="E247" s="158"/>
      <c r="F247" s="157"/>
      <c r="G247" s="156"/>
      <c r="H247" s="156"/>
      <c r="I247" s="158"/>
      <c r="J247" s="158"/>
    </row>
    <row r="248" spans="1:10" ht="12.75" customHeight="1" x14ac:dyDescent="0.2">
      <c r="A248" s="156"/>
      <c r="B248" s="156"/>
      <c r="C248" s="156"/>
      <c r="D248" s="158"/>
      <c r="E248" s="158"/>
      <c r="F248" s="157"/>
      <c r="G248" s="156"/>
      <c r="H248" s="156"/>
      <c r="I248" s="158"/>
      <c r="J248" s="158"/>
    </row>
    <row r="249" spans="1:10" ht="12.75" customHeight="1" x14ac:dyDescent="0.2">
      <c r="A249" s="156"/>
      <c r="B249" s="156"/>
      <c r="C249" s="156"/>
      <c r="D249" s="158"/>
      <c r="E249" s="158"/>
      <c r="F249" s="158"/>
      <c r="G249" s="156"/>
      <c r="H249" s="156"/>
      <c r="I249" s="158"/>
      <c r="J249" s="158"/>
    </row>
    <row r="250" spans="1:10" ht="12.75" customHeight="1" x14ac:dyDescent="0.2">
      <c r="A250" s="156"/>
      <c r="B250" s="156"/>
      <c r="C250" s="156"/>
      <c r="D250" s="158"/>
      <c r="E250" s="158"/>
      <c r="F250" s="157"/>
      <c r="G250" s="156"/>
      <c r="H250" s="156"/>
      <c r="I250" s="158"/>
      <c r="J250" s="158"/>
    </row>
    <row r="251" spans="1:10" ht="12.75" customHeight="1" x14ac:dyDescent="0.2">
      <c r="A251" s="156"/>
      <c r="B251" s="156"/>
      <c r="C251" s="156"/>
      <c r="D251" s="158"/>
      <c r="E251" s="158"/>
      <c r="F251" s="157"/>
      <c r="G251" s="156"/>
      <c r="H251" s="156"/>
      <c r="I251" s="158"/>
      <c r="J251" s="158"/>
    </row>
    <row r="252" spans="1:10" ht="12.75" customHeight="1" x14ac:dyDescent="0.2">
      <c r="A252" s="156"/>
      <c r="B252" s="156"/>
      <c r="C252" s="156"/>
      <c r="D252" s="158"/>
      <c r="E252" s="158"/>
      <c r="F252" s="158"/>
      <c r="G252" s="156"/>
      <c r="H252" s="156"/>
      <c r="I252" s="158"/>
      <c r="J252" s="158"/>
    </row>
    <row r="253" spans="1:10" ht="12.75" customHeight="1" x14ac:dyDescent="0.2">
      <c r="A253" s="156"/>
      <c r="B253" s="156"/>
      <c r="C253" s="156"/>
      <c r="D253" s="158"/>
      <c r="E253" s="158"/>
      <c r="F253" s="157"/>
      <c r="G253" s="156"/>
      <c r="H253" s="156"/>
      <c r="I253" s="158"/>
      <c r="J253" s="158"/>
    </row>
    <row r="254" spans="1:10" ht="12.75" customHeight="1" x14ac:dyDescent="0.2">
      <c r="A254" s="156"/>
      <c r="B254" s="156"/>
      <c r="C254" s="156"/>
      <c r="D254" s="158"/>
      <c r="E254" s="158"/>
      <c r="F254" s="157"/>
      <c r="G254" s="156"/>
      <c r="H254" s="156"/>
      <c r="I254" s="158"/>
      <c r="J254" s="158"/>
    </row>
    <row r="255" spans="1:10" ht="12.75" customHeight="1" x14ac:dyDescent="0.2">
      <c r="A255" s="156"/>
      <c r="B255" s="156"/>
      <c r="C255" s="156"/>
      <c r="D255" s="158"/>
      <c r="E255" s="158"/>
      <c r="F255" s="158"/>
      <c r="G255" s="156"/>
      <c r="H255" s="156"/>
      <c r="I255" s="158"/>
      <c r="J255" s="158"/>
    </row>
    <row r="256" spans="1:10" ht="12.75" customHeight="1" x14ac:dyDescent="0.2">
      <c r="A256" s="156"/>
      <c r="B256" s="156"/>
      <c r="C256" s="156"/>
      <c r="D256" s="158"/>
      <c r="E256" s="158"/>
      <c r="F256" s="157"/>
      <c r="G256" s="156"/>
      <c r="H256" s="156"/>
      <c r="I256" s="158"/>
      <c r="J256" s="158"/>
    </row>
    <row r="257" spans="1:10" ht="12.75" customHeight="1" x14ac:dyDescent="0.2">
      <c r="A257" s="156"/>
      <c r="B257" s="156"/>
      <c r="C257" s="156"/>
      <c r="D257" s="158"/>
      <c r="E257" s="158"/>
      <c r="F257" s="157"/>
      <c r="G257" s="156"/>
      <c r="H257" s="156"/>
      <c r="I257" s="158"/>
      <c r="J257" s="158"/>
    </row>
    <row r="258" spans="1:10" ht="12.75" customHeight="1" x14ac:dyDescent="0.2">
      <c r="A258" s="156"/>
      <c r="B258" s="156"/>
      <c r="C258" s="156"/>
      <c r="D258" s="158"/>
      <c r="E258" s="158"/>
      <c r="F258" s="158"/>
      <c r="G258" s="156"/>
      <c r="H258" s="156"/>
      <c r="I258" s="158"/>
      <c r="J258" s="158"/>
    </row>
    <row r="259" spans="1:10" ht="12.75" customHeight="1" x14ac:dyDescent="0.2">
      <c r="A259" s="156"/>
      <c r="B259" s="156"/>
      <c r="C259" s="156"/>
      <c r="D259" s="158"/>
      <c r="E259" s="158"/>
      <c r="F259" s="157"/>
      <c r="G259" s="156"/>
      <c r="H259" s="156"/>
      <c r="I259" s="158"/>
      <c r="J259" s="158"/>
    </row>
    <row r="260" spans="1:10" ht="12.75" customHeight="1" x14ac:dyDescent="0.2">
      <c r="A260" s="156"/>
      <c r="B260" s="156"/>
      <c r="C260" s="156"/>
      <c r="D260" s="158"/>
      <c r="E260" s="158"/>
      <c r="F260" s="157"/>
      <c r="G260" s="156"/>
      <c r="H260" s="156"/>
      <c r="I260" s="158"/>
      <c r="J260" s="158"/>
    </row>
    <row r="261" spans="1:10" ht="12.75" customHeight="1" x14ac:dyDescent="0.2">
      <c r="A261" s="156"/>
      <c r="B261" s="156"/>
      <c r="C261" s="156"/>
      <c r="D261" s="158"/>
      <c r="E261" s="158"/>
      <c r="F261" s="158"/>
      <c r="G261" s="156"/>
      <c r="H261" s="156"/>
      <c r="I261" s="158"/>
      <c r="J261" s="158"/>
    </row>
    <row r="262" spans="1:10" ht="12.75" customHeight="1" x14ac:dyDescent="0.2">
      <c r="A262" s="156"/>
      <c r="B262" s="156"/>
      <c r="C262" s="156"/>
      <c r="D262" s="158"/>
      <c r="E262" s="158"/>
      <c r="F262" s="157"/>
      <c r="G262" s="156"/>
      <c r="H262" s="156"/>
      <c r="I262" s="158"/>
      <c r="J262" s="158"/>
    </row>
    <row r="263" spans="1:10" ht="12.75" customHeight="1" x14ac:dyDescent="0.2">
      <c r="A263" s="156"/>
      <c r="B263" s="156"/>
      <c r="C263" s="156"/>
      <c r="D263" s="158"/>
      <c r="E263" s="158"/>
      <c r="F263" s="157"/>
      <c r="G263" s="156"/>
      <c r="H263" s="156"/>
      <c r="I263" s="158"/>
      <c r="J263" s="158"/>
    </row>
    <row r="264" spans="1:10" ht="12.75" customHeight="1" x14ac:dyDescent="0.2">
      <c r="A264" s="156"/>
      <c r="B264" s="156"/>
      <c r="C264" s="156"/>
      <c r="D264" s="158"/>
      <c r="E264" s="158"/>
      <c r="F264" s="158"/>
      <c r="G264" s="156"/>
      <c r="H264" s="156"/>
      <c r="I264" s="158"/>
      <c r="J264" s="158"/>
    </row>
    <row r="265" spans="1:10" ht="12.75" customHeight="1" x14ac:dyDescent="0.2">
      <c r="A265" s="156"/>
      <c r="B265" s="156"/>
      <c r="C265" s="156"/>
      <c r="D265" s="158"/>
      <c r="E265" s="158"/>
      <c r="F265" s="157"/>
      <c r="G265" s="156"/>
      <c r="H265" s="156"/>
      <c r="I265" s="158"/>
      <c r="J265" s="158"/>
    </row>
    <row r="266" spans="1:10" ht="12.75" customHeight="1" x14ac:dyDescent="0.2">
      <c r="A266" s="156"/>
      <c r="B266" s="156"/>
      <c r="C266" s="156"/>
      <c r="D266" s="158"/>
      <c r="E266" s="158"/>
      <c r="F266" s="157"/>
      <c r="G266" s="156"/>
      <c r="H266" s="156"/>
      <c r="I266" s="158"/>
      <c r="J266" s="158"/>
    </row>
    <row r="267" spans="1:10" ht="12.75" customHeight="1" x14ac:dyDescent="0.2">
      <c r="A267" s="156"/>
      <c r="B267" s="156"/>
      <c r="C267" s="156"/>
      <c r="D267" s="158"/>
      <c r="E267" s="158"/>
      <c r="F267" s="158"/>
      <c r="G267" s="156"/>
      <c r="H267" s="156"/>
      <c r="I267" s="158"/>
      <c r="J267" s="158"/>
    </row>
    <row r="268" spans="1:10" ht="12.75" customHeight="1" x14ac:dyDescent="0.2">
      <c r="A268" s="156"/>
      <c r="B268" s="156"/>
      <c r="C268" s="156"/>
      <c r="D268" s="158"/>
      <c r="E268" s="158"/>
      <c r="F268" s="157"/>
      <c r="G268" s="156"/>
      <c r="H268" s="156"/>
      <c r="I268" s="158"/>
      <c r="J268" s="158"/>
    </row>
    <row r="269" spans="1:10" ht="12.75" customHeight="1" x14ac:dyDescent="0.2">
      <c r="A269" s="156"/>
      <c r="B269" s="156"/>
      <c r="C269" s="156"/>
      <c r="D269" s="158"/>
      <c r="E269" s="158"/>
      <c r="F269" s="157"/>
      <c r="G269" s="156"/>
      <c r="H269" s="156"/>
      <c r="I269" s="158"/>
      <c r="J269" s="158"/>
    </row>
    <row r="270" spans="1:10" ht="12.75" customHeight="1" x14ac:dyDescent="0.2">
      <c r="A270" s="156"/>
      <c r="B270" s="156"/>
      <c r="C270" s="156"/>
      <c r="D270" s="158"/>
      <c r="E270" s="158"/>
      <c r="F270" s="158"/>
      <c r="G270" s="156"/>
      <c r="H270" s="156"/>
      <c r="I270" s="158"/>
      <c r="J270" s="158"/>
    </row>
    <row r="271" spans="1:10" ht="12.75" customHeight="1" x14ac:dyDescent="0.2">
      <c r="A271" s="156"/>
      <c r="B271" s="156"/>
      <c r="C271" s="156"/>
      <c r="D271" s="158"/>
      <c r="E271" s="158"/>
      <c r="F271" s="157"/>
      <c r="G271" s="156"/>
      <c r="H271" s="156"/>
      <c r="I271" s="158"/>
      <c r="J271" s="158"/>
    </row>
    <row r="272" spans="1:10" ht="12.75" customHeight="1" x14ac:dyDescent="0.2">
      <c r="A272" s="156"/>
      <c r="B272" s="156"/>
      <c r="C272" s="156"/>
      <c r="D272" s="158"/>
      <c r="E272" s="158"/>
      <c r="F272" s="157"/>
      <c r="G272" s="156"/>
      <c r="H272" s="156"/>
      <c r="I272" s="158"/>
      <c r="J272" s="158"/>
    </row>
    <row r="273" spans="1:10" ht="12.75" customHeight="1" x14ac:dyDescent="0.2">
      <c r="A273" s="156"/>
      <c r="B273" s="156"/>
      <c r="C273" s="156"/>
      <c r="D273" s="158"/>
      <c r="E273" s="158"/>
      <c r="F273" s="158"/>
      <c r="G273" s="156"/>
      <c r="H273" s="156"/>
      <c r="I273" s="158"/>
      <c r="J273" s="158"/>
    </row>
    <row r="274" spans="1:10" ht="12.75" customHeight="1" x14ac:dyDescent="0.2">
      <c r="A274" s="156"/>
      <c r="B274" s="156"/>
      <c r="C274" s="156"/>
      <c r="D274" s="158"/>
      <c r="E274" s="158"/>
      <c r="F274" s="157"/>
      <c r="G274" s="156"/>
      <c r="H274" s="156"/>
      <c r="I274" s="158"/>
      <c r="J274" s="158"/>
    </row>
    <row r="275" spans="1:10" ht="12.75" customHeight="1" x14ac:dyDescent="0.2">
      <c r="A275" s="156"/>
      <c r="B275" s="156"/>
      <c r="C275" s="156"/>
      <c r="D275" s="158"/>
      <c r="E275" s="158"/>
      <c r="F275" s="157"/>
      <c r="G275" s="156"/>
      <c r="H275" s="156"/>
      <c r="I275" s="158"/>
      <c r="J275" s="158"/>
    </row>
    <row r="276" spans="1:10" ht="12.75" customHeight="1" x14ac:dyDescent="0.2">
      <c r="A276" s="156"/>
      <c r="B276" s="156"/>
      <c r="C276" s="156"/>
      <c r="D276" s="158"/>
      <c r="E276" s="158"/>
      <c r="F276" s="158"/>
      <c r="G276" s="156"/>
      <c r="H276" s="156"/>
      <c r="I276" s="158"/>
      <c r="J276" s="158"/>
    </row>
    <row r="277" spans="1:10" ht="12.75" customHeight="1" x14ac:dyDescent="0.2">
      <c r="A277" s="156"/>
      <c r="B277" s="156"/>
      <c r="C277" s="156"/>
      <c r="D277" s="158"/>
      <c r="E277" s="158"/>
      <c r="F277" s="157"/>
      <c r="G277" s="156"/>
      <c r="H277" s="156"/>
      <c r="I277" s="158"/>
      <c r="J277" s="158"/>
    </row>
    <row r="278" spans="1:10" ht="12.75" customHeight="1" x14ac:dyDescent="0.2">
      <c r="A278" s="156"/>
      <c r="B278" s="156"/>
      <c r="C278" s="156"/>
      <c r="D278" s="158"/>
      <c r="E278" s="158"/>
      <c r="F278" s="157"/>
      <c r="G278" s="156"/>
      <c r="H278" s="156"/>
      <c r="I278" s="158"/>
      <c r="J278" s="158"/>
    </row>
    <row r="279" spans="1:10" ht="12.75" customHeight="1" x14ac:dyDescent="0.2">
      <c r="A279" s="156"/>
      <c r="B279" s="156"/>
      <c r="C279" s="156"/>
      <c r="D279" s="158"/>
      <c r="E279" s="158"/>
      <c r="F279" s="158"/>
      <c r="G279" s="156"/>
      <c r="H279" s="156"/>
      <c r="I279" s="158"/>
      <c r="J279" s="158"/>
    </row>
    <row r="280" spans="1:10" ht="12.75" customHeight="1" x14ac:dyDescent="0.2">
      <c r="A280" s="156"/>
      <c r="B280" s="156"/>
      <c r="C280" s="156"/>
      <c r="D280" s="158"/>
      <c r="E280" s="158"/>
      <c r="F280" s="157"/>
      <c r="G280" s="156"/>
      <c r="H280" s="156"/>
      <c r="I280" s="158"/>
      <c r="J280" s="158"/>
    </row>
    <row r="281" spans="1:10" ht="12.75" customHeight="1" x14ac:dyDescent="0.2">
      <c r="A281" s="156"/>
      <c r="B281" s="156"/>
      <c r="C281" s="156"/>
      <c r="D281" s="158"/>
      <c r="E281" s="158"/>
      <c r="F281" s="157"/>
      <c r="G281" s="156"/>
      <c r="H281" s="156"/>
      <c r="I281" s="158"/>
      <c r="J281" s="158"/>
    </row>
    <row r="282" spans="1:10" ht="12.75" customHeight="1" x14ac:dyDescent="0.2">
      <c r="A282" s="156"/>
      <c r="B282" s="156"/>
      <c r="C282" s="156"/>
      <c r="D282" s="158"/>
      <c r="E282" s="158"/>
      <c r="F282" s="158"/>
      <c r="G282" s="156"/>
      <c r="H282" s="156"/>
      <c r="I282" s="158"/>
      <c r="J282" s="158"/>
    </row>
    <row r="283" spans="1:10" ht="12.75" customHeight="1" x14ac:dyDescent="0.2">
      <c r="A283" s="156"/>
      <c r="B283" s="156"/>
      <c r="C283" s="156"/>
      <c r="D283" s="158"/>
      <c r="E283" s="158"/>
      <c r="F283" s="157"/>
      <c r="G283" s="156"/>
      <c r="H283" s="156"/>
      <c r="I283" s="158"/>
      <c r="J283" s="158"/>
    </row>
    <row r="284" spans="1:10" ht="12.75" customHeight="1" x14ac:dyDescent="0.2">
      <c r="A284" s="156"/>
      <c r="B284" s="156"/>
      <c r="C284" s="156"/>
      <c r="D284" s="158"/>
      <c r="E284" s="158"/>
      <c r="F284" s="157"/>
      <c r="G284" s="156"/>
      <c r="H284" s="156"/>
      <c r="I284" s="158"/>
      <c r="J284" s="158"/>
    </row>
    <row r="285" spans="1:10" ht="12.75" customHeight="1" x14ac:dyDescent="0.2">
      <c r="A285" s="156"/>
      <c r="B285" s="156"/>
      <c r="C285" s="156"/>
      <c r="D285" s="158"/>
      <c r="E285" s="158"/>
      <c r="F285" s="158"/>
      <c r="G285" s="156"/>
      <c r="H285" s="156"/>
      <c r="I285" s="158"/>
      <c r="J285" s="158"/>
    </row>
    <row r="286" spans="1:10" ht="12.75" customHeight="1" x14ac:dyDescent="0.2">
      <c r="A286" s="156"/>
      <c r="B286" s="156"/>
      <c r="C286" s="156"/>
      <c r="D286" s="158"/>
      <c r="E286" s="158"/>
      <c r="F286" s="157"/>
      <c r="G286" s="156"/>
      <c r="H286" s="156"/>
      <c r="I286" s="158"/>
      <c r="J286" s="158"/>
    </row>
    <row r="287" spans="1:10" ht="12.75" customHeight="1" x14ac:dyDescent="0.2">
      <c r="A287" s="156"/>
      <c r="B287" s="156"/>
      <c r="C287" s="156"/>
      <c r="D287" s="158"/>
      <c r="E287" s="158"/>
      <c r="F287" s="157"/>
      <c r="G287" s="156"/>
      <c r="H287" s="156"/>
      <c r="I287" s="158"/>
      <c r="J287" s="158"/>
    </row>
    <row r="288" spans="1:10" ht="12.75" customHeight="1" x14ac:dyDescent="0.2">
      <c r="A288" s="156"/>
      <c r="B288" s="156"/>
      <c r="C288" s="156"/>
      <c r="D288" s="158"/>
      <c r="E288" s="158"/>
      <c r="F288" s="158"/>
      <c r="G288" s="156"/>
      <c r="H288" s="156"/>
      <c r="I288" s="158"/>
      <c r="J288" s="158"/>
    </row>
    <row r="289" spans="1:10" ht="12.75" customHeight="1" x14ac:dyDescent="0.2">
      <c r="A289" s="156"/>
      <c r="B289" s="156"/>
      <c r="C289" s="156"/>
      <c r="D289" s="158"/>
      <c r="E289" s="158"/>
      <c r="F289" s="157"/>
      <c r="G289" s="156"/>
      <c r="H289" s="156"/>
      <c r="I289" s="158"/>
      <c r="J289" s="158"/>
    </row>
    <row r="290" spans="1:10" ht="12.75" customHeight="1" x14ac:dyDescent="0.2">
      <c r="A290" s="156"/>
      <c r="B290" s="156"/>
      <c r="C290" s="156"/>
      <c r="D290" s="158"/>
      <c r="E290" s="158"/>
      <c r="F290" s="157"/>
      <c r="G290" s="156"/>
      <c r="H290" s="156"/>
      <c r="I290" s="158"/>
      <c r="J290" s="158"/>
    </row>
    <row r="291" spans="1:10" ht="12.75" customHeight="1" x14ac:dyDescent="0.2">
      <c r="A291" s="156"/>
      <c r="B291" s="156"/>
      <c r="C291" s="156"/>
      <c r="D291" s="158"/>
      <c r="E291" s="158"/>
      <c r="F291" s="158"/>
      <c r="G291" s="156"/>
      <c r="H291" s="156"/>
      <c r="I291" s="158"/>
      <c r="J291" s="158"/>
    </row>
    <row r="292" spans="1:10" ht="12.75" customHeight="1" x14ac:dyDescent="0.2">
      <c r="A292" s="156"/>
      <c r="B292" s="156"/>
      <c r="C292" s="156"/>
      <c r="D292" s="158"/>
      <c r="E292" s="158"/>
      <c r="F292" s="157"/>
      <c r="G292" s="156"/>
      <c r="H292" s="156"/>
      <c r="I292" s="158"/>
      <c r="J292" s="158"/>
    </row>
    <row r="293" spans="1:10" ht="12.75" customHeight="1" x14ac:dyDescent="0.2">
      <c r="A293" s="156"/>
      <c r="B293" s="156"/>
      <c r="C293" s="156"/>
      <c r="D293" s="158"/>
      <c r="E293" s="158"/>
      <c r="F293" s="157"/>
      <c r="G293" s="156"/>
      <c r="H293" s="156"/>
      <c r="I293" s="158"/>
      <c r="J293" s="158"/>
    </row>
    <row r="294" spans="1:10" ht="12.75" customHeight="1" x14ac:dyDescent="0.2">
      <c r="A294" s="156"/>
      <c r="B294" s="156"/>
      <c r="C294" s="156"/>
      <c r="D294" s="158"/>
      <c r="E294" s="158"/>
      <c r="F294" s="158"/>
      <c r="G294" s="156"/>
      <c r="H294" s="156"/>
      <c r="I294" s="158"/>
      <c r="J294" s="158"/>
    </row>
    <row r="295" spans="1:10" ht="12.75" customHeight="1" x14ac:dyDescent="0.2">
      <c r="A295" s="156"/>
      <c r="B295" s="156"/>
      <c r="C295" s="156"/>
      <c r="D295" s="158"/>
      <c r="E295" s="158"/>
      <c r="F295" s="157"/>
      <c r="G295" s="156"/>
      <c r="H295" s="156"/>
      <c r="I295" s="158"/>
      <c r="J295" s="158"/>
    </row>
    <row r="296" spans="1:10" ht="12.75" customHeight="1" x14ac:dyDescent="0.2">
      <c r="A296" s="156"/>
      <c r="B296" s="156"/>
      <c r="C296" s="156"/>
      <c r="D296" s="158"/>
      <c r="E296" s="158"/>
      <c r="F296" s="157"/>
      <c r="G296" s="156"/>
      <c r="H296" s="156"/>
      <c r="I296" s="158"/>
      <c r="J296" s="158"/>
    </row>
    <row r="297" spans="1:10" ht="12.75" customHeight="1" x14ac:dyDescent="0.2">
      <c r="A297" s="156"/>
      <c r="B297" s="156"/>
      <c r="C297" s="156"/>
      <c r="D297" s="158"/>
      <c r="E297" s="158"/>
      <c r="F297" s="158"/>
      <c r="G297" s="156"/>
      <c r="H297" s="156"/>
      <c r="I297" s="158"/>
      <c r="J297" s="158"/>
    </row>
    <row r="298" spans="1:10" ht="12.75" customHeight="1" x14ac:dyDescent="0.2">
      <c r="A298" s="156"/>
      <c r="B298" s="156"/>
      <c r="C298" s="156"/>
      <c r="D298" s="158"/>
      <c r="E298" s="158"/>
      <c r="F298" s="157"/>
      <c r="G298" s="156"/>
      <c r="H298" s="156"/>
      <c r="I298" s="158"/>
      <c r="J298" s="158"/>
    </row>
    <row r="299" spans="1:10" ht="12.75" customHeight="1" x14ac:dyDescent="0.2">
      <c r="A299" s="156"/>
      <c r="B299" s="156"/>
      <c r="C299" s="156"/>
      <c r="D299" s="158"/>
      <c r="E299" s="158"/>
      <c r="F299" s="157"/>
      <c r="G299" s="156"/>
      <c r="H299" s="156"/>
      <c r="I299" s="158"/>
      <c r="J299" s="158"/>
    </row>
    <row r="300" spans="1:10" ht="12.75" customHeight="1" x14ac:dyDescent="0.2">
      <c r="A300" s="156"/>
      <c r="B300" s="156"/>
      <c r="C300" s="156"/>
      <c r="D300" s="158"/>
      <c r="E300" s="158"/>
      <c r="F300" s="158"/>
      <c r="G300" s="156"/>
      <c r="H300" s="156"/>
      <c r="I300" s="158"/>
      <c r="J300" s="158"/>
    </row>
    <row r="301" spans="1:10" ht="12.75" customHeight="1" x14ac:dyDescent="0.2">
      <c r="A301" s="156"/>
      <c r="B301" s="156"/>
      <c r="C301" s="156"/>
      <c r="D301" s="158"/>
      <c r="E301" s="158"/>
      <c r="F301" s="157"/>
      <c r="G301" s="156"/>
      <c r="H301" s="156"/>
      <c r="I301" s="158"/>
      <c r="J301" s="158"/>
    </row>
    <row r="302" spans="1:10" ht="12.75" customHeight="1" x14ac:dyDescent="0.2">
      <c r="A302" s="156"/>
      <c r="B302" s="156"/>
      <c r="C302" s="156"/>
      <c r="D302" s="158"/>
      <c r="E302" s="158"/>
      <c r="F302" s="157"/>
      <c r="G302" s="156"/>
      <c r="H302" s="156"/>
      <c r="I302" s="158"/>
      <c r="J302" s="158"/>
    </row>
    <row r="303" spans="1:10" ht="12.75" customHeight="1" x14ac:dyDescent="0.2">
      <c r="A303" s="156"/>
      <c r="B303" s="156"/>
      <c r="C303" s="156"/>
      <c r="D303" s="158"/>
      <c r="E303" s="158"/>
      <c r="F303" s="158"/>
      <c r="G303" s="156"/>
      <c r="H303" s="156"/>
      <c r="I303" s="158"/>
      <c r="J303" s="158"/>
    </row>
    <row r="304" spans="1:10" ht="12.75" customHeight="1" x14ac:dyDescent="0.2">
      <c r="A304" s="156"/>
      <c r="B304" s="156"/>
      <c r="C304" s="156"/>
      <c r="D304" s="158"/>
      <c r="E304" s="158"/>
      <c r="F304" s="157"/>
      <c r="G304" s="156"/>
      <c r="H304" s="156"/>
      <c r="I304" s="158"/>
      <c r="J304" s="158"/>
    </row>
    <row r="305" spans="1:10" ht="12.75" customHeight="1" x14ac:dyDescent="0.2">
      <c r="A305" s="156"/>
      <c r="B305" s="156"/>
      <c r="C305" s="156"/>
      <c r="D305" s="158"/>
      <c r="E305" s="158"/>
      <c r="F305" s="157"/>
      <c r="G305" s="156"/>
      <c r="H305" s="156"/>
      <c r="I305" s="158"/>
      <c r="J305" s="158"/>
    </row>
    <row r="306" spans="1:10" ht="12.75" customHeight="1" x14ac:dyDescent="0.2">
      <c r="A306" s="156"/>
      <c r="B306" s="156"/>
      <c r="C306" s="156"/>
      <c r="D306" s="158"/>
      <c r="E306" s="158"/>
      <c r="F306" s="158"/>
      <c r="G306" s="156"/>
      <c r="H306" s="156"/>
      <c r="I306" s="158"/>
      <c r="J306" s="158"/>
    </row>
    <row r="307" spans="1:10" ht="12.75" customHeight="1" x14ac:dyDescent="0.2">
      <c r="A307" s="156"/>
      <c r="B307" s="156"/>
      <c r="C307" s="156"/>
      <c r="D307" s="158"/>
      <c r="E307" s="158"/>
      <c r="F307" s="157"/>
      <c r="G307" s="156"/>
      <c r="H307" s="156"/>
      <c r="I307" s="158"/>
      <c r="J307" s="158"/>
    </row>
    <row r="308" spans="1:10" ht="12.75" customHeight="1" x14ac:dyDescent="0.2">
      <c r="A308" s="156"/>
      <c r="B308" s="156"/>
      <c r="C308" s="156"/>
      <c r="D308" s="158"/>
      <c r="E308" s="158"/>
      <c r="F308" s="157"/>
      <c r="G308" s="156"/>
      <c r="H308" s="156"/>
      <c r="I308" s="158"/>
      <c r="J308" s="158"/>
    </row>
    <row r="309" spans="1:10" ht="12.75" customHeight="1" x14ac:dyDescent="0.2">
      <c r="A309" s="156"/>
      <c r="B309" s="156"/>
      <c r="C309" s="156"/>
      <c r="D309" s="158"/>
      <c r="E309" s="158"/>
      <c r="F309" s="158"/>
      <c r="G309" s="156"/>
      <c r="H309" s="156"/>
      <c r="I309" s="158"/>
      <c r="J309" s="158"/>
    </row>
    <row r="310" spans="1:10" ht="12.75" customHeight="1" x14ac:dyDescent="0.2">
      <c r="A310" s="156"/>
      <c r="B310" s="156"/>
      <c r="C310" s="156"/>
      <c r="D310" s="158"/>
      <c r="E310" s="158"/>
      <c r="F310" s="157"/>
      <c r="G310" s="156"/>
      <c r="H310" s="156"/>
      <c r="I310" s="158"/>
      <c r="J310" s="158"/>
    </row>
    <row r="311" spans="1:10" ht="12.75" customHeight="1" x14ac:dyDescent="0.2">
      <c r="A311" s="156"/>
      <c r="B311" s="156"/>
      <c r="C311" s="156"/>
      <c r="D311" s="158"/>
      <c r="E311" s="158"/>
      <c r="F311" s="157"/>
      <c r="G311" s="156"/>
      <c r="H311" s="156"/>
      <c r="I311" s="158"/>
      <c r="J311" s="158"/>
    </row>
    <row r="312" spans="1:10" ht="12.75" customHeight="1" x14ac:dyDescent="0.2">
      <c r="A312" s="156"/>
      <c r="B312" s="156"/>
      <c r="C312" s="156"/>
      <c r="D312" s="158"/>
      <c r="E312" s="158"/>
      <c r="F312" s="158"/>
      <c r="G312" s="156"/>
      <c r="H312" s="156"/>
      <c r="I312" s="158"/>
      <c r="J312" s="158"/>
    </row>
    <row r="313" spans="1:10" ht="12.75" customHeight="1" x14ac:dyDescent="0.2">
      <c r="A313" s="156"/>
      <c r="B313" s="156"/>
      <c r="C313" s="156"/>
      <c r="D313" s="158"/>
      <c r="E313" s="158"/>
      <c r="F313" s="157"/>
      <c r="G313" s="156"/>
      <c r="H313" s="156"/>
      <c r="I313" s="158"/>
      <c r="J313" s="158"/>
    </row>
    <row r="314" spans="1:10" ht="12.75" customHeight="1" x14ac:dyDescent="0.2">
      <c r="A314" s="156"/>
      <c r="B314" s="156"/>
      <c r="C314" s="156"/>
      <c r="D314" s="158"/>
      <c r="E314" s="158"/>
      <c r="F314" s="157"/>
      <c r="G314" s="156"/>
      <c r="H314" s="156"/>
      <c r="I314" s="158"/>
      <c r="J314" s="158"/>
    </row>
    <row r="315" spans="1:10" ht="12.75" customHeight="1" x14ac:dyDescent="0.2">
      <c r="A315" s="156"/>
      <c r="B315" s="156"/>
      <c r="C315" s="156"/>
      <c r="D315" s="158"/>
      <c r="E315" s="158"/>
      <c r="F315" s="158"/>
      <c r="G315" s="156"/>
      <c r="H315" s="156"/>
      <c r="I315" s="158"/>
      <c r="J315" s="158"/>
    </row>
    <row r="316" spans="1:10" x14ac:dyDescent="0.2">
      <c r="A316" s="156"/>
      <c r="B316" s="156"/>
      <c r="C316" s="156"/>
      <c r="D316" s="158"/>
      <c r="E316" s="158"/>
      <c r="F316" s="157"/>
      <c r="G316" s="156"/>
      <c r="H316" s="156"/>
      <c r="I316" s="158"/>
      <c r="J316" s="158"/>
    </row>
    <row r="317" spans="1:10" x14ac:dyDescent="0.2">
      <c r="A317" s="156"/>
      <c r="B317" s="156"/>
      <c r="C317" s="156"/>
      <c r="D317" s="158"/>
      <c r="E317" s="158"/>
      <c r="F317" s="157"/>
      <c r="G317" s="156"/>
      <c r="H317" s="156"/>
      <c r="I317" s="158"/>
      <c r="J317" s="158"/>
    </row>
    <row r="318" spans="1:10" x14ac:dyDescent="0.2">
      <c r="A318" s="156"/>
      <c r="B318" s="156"/>
      <c r="C318" s="156"/>
      <c r="D318" s="158"/>
      <c r="E318" s="158"/>
      <c r="F318" s="158"/>
      <c r="G318" s="156"/>
      <c r="H318" s="156"/>
      <c r="I318" s="158"/>
      <c r="J318" s="158"/>
    </row>
    <row r="319" spans="1:10" x14ac:dyDescent="0.2">
      <c r="A319" s="156"/>
      <c r="B319" s="156"/>
      <c r="C319" s="156"/>
      <c r="D319" s="158"/>
      <c r="E319" s="158"/>
      <c r="F319" s="157"/>
      <c r="G319" s="156"/>
      <c r="H319" s="156"/>
      <c r="I319" s="158"/>
      <c r="J319" s="158"/>
    </row>
    <row r="320" spans="1:10" x14ac:dyDescent="0.2">
      <c r="A320" s="156"/>
      <c r="B320" s="156"/>
      <c r="C320" s="156"/>
      <c r="D320" s="158"/>
      <c r="E320" s="158"/>
      <c r="F320" s="157"/>
      <c r="G320" s="156"/>
      <c r="H320" s="156"/>
      <c r="I320" s="158"/>
      <c r="J320" s="158"/>
    </row>
    <row r="321" spans="1:10" ht="12.75" customHeight="1" x14ac:dyDescent="0.2">
      <c r="A321" s="156"/>
      <c r="B321" s="156"/>
      <c r="C321" s="156"/>
      <c r="D321" s="158"/>
      <c r="E321" s="158"/>
      <c r="F321" s="158"/>
      <c r="G321" s="156"/>
      <c r="H321" s="156"/>
      <c r="I321" s="158"/>
      <c r="J321" s="158"/>
    </row>
    <row r="322" spans="1:10" ht="12.75" customHeight="1" x14ac:dyDescent="0.2">
      <c r="A322" s="156"/>
      <c r="B322" s="156"/>
      <c r="C322" s="156"/>
      <c r="D322" s="158"/>
      <c r="E322" s="158"/>
      <c r="F322" s="157"/>
      <c r="G322" s="156"/>
      <c r="H322" s="156"/>
      <c r="I322" s="158"/>
      <c r="J322" s="158"/>
    </row>
    <row r="323" spans="1:10" x14ac:dyDescent="0.2">
      <c r="A323" s="156"/>
      <c r="B323" s="156"/>
      <c r="C323" s="156"/>
      <c r="D323" s="158"/>
      <c r="E323" s="158"/>
      <c r="F323" s="157"/>
      <c r="G323" s="156"/>
      <c r="H323" s="156"/>
      <c r="I323" s="158"/>
      <c r="J323" s="158"/>
    </row>
    <row r="324" spans="1:10" x14ac:dyDescent="0.2">
      <c r="A324" s="156"/>
      <c r="B324" s="156"/>
      <c r="C324" s="156"/>
      <c r="D324" s="158"/>
      <c r="E324" s="158"/>
      <c r="F324" s="158"/>
      <c r="G324" s="156"/>
      <c r="H324" s="156"/>
      <c r="I324" s="158"/>
      <c r="J324" s="158"/>
    </row>
    <row r="325" spans="1:10" x14ac:dyDescent="0.2">
      <c r="A325" s="156"/>
      <c r="B325" s="156"/>
      <c r="C325" s="156"/>
      <c r="D325" s="158"/>
      <c r="E325" s="158"/>
      <c r="F325" s="157"/>
      <c r="G325" s="156"/>
      <c r="H325" s="156"/>
      <c r="I325" s="158"/>
      <c r="J325" s="158"/>
    </row>
    <row r="326" spans="1:10" x14ac:dyDescent="0.2">
      <c r="A326" s="156"/>
      <c r="B326" s="156"/>
      <c r="C326" s="156"/>
      <c r="D326" s="158"/>
      <c r="E326" s="158"/>
      <c r="F326" s="157"/>
      <c r="G326" s="156"/>
      <c r="H326" s="156"/>
      <c r="I326" s="158"/>
      <c r="J326" s="158"/>
    </row>
    <row r="327" spans="1:10" x14ac:dyDescent="0.2">
      <c r="A327" s="156"/>
      <c r="B327" s="156"/>
      <c r="C327" s="156"/>
      <c r="D327" s="158"/>
      <c r="E327" s="158"/>
      <c r="F327" s="158"/>
      <c r="G327" s="156"/>
      <c r="H327" s="156"/>
      <c r="I327" s="158"/>
      <c r="J327" s="158"/>
    </row>
    <row r="328" spans="1:10" ht="12.75" customHeight="1" x14ac:dyDescent="0.2">
      <c r="A328" s="156"/>
      <c r="B328" s="156"/>
      <c r="C328" s="156"/>
      <c r="D328" s="158"/>
      <c r="E328" s="158"/>
      <c r="F328" s="157"/>
      <c r="G328" s="156"/>
      <c r="H328" s="156"/>
      <c r="I328" s="158"/>
      <c r="J328" s="158"/>
    </row>
    <row r="329" spans="1:10" ht="12.75" customHeight="1" x14ac:dyDescent="0.2">
      <c r="A329" s="156"/>
      <c r="B329" s="156"/>
      <c r="C329" s="156"/>
      <c r="D329" s="158"/>
      <c r="E329" s="158"/>
      <c r="F329" s="157"/>
      <c r="G329" s="156"/>
      <c r="H329" s="156"/>
      <c r="I329" s="158"/>
      <c r="J329" s="158"/>
    </row>
    <row r="330" spans="1:10" x14ac:dyDescent="0.2">
      <c r="A330" s="156"/>
      <c r="B330" s="156"/>
      <c r="C330" s="156"/>
      <c r="D330" s="158"/>
      <c r="E330" s="158"/>
      <c r="F330" s="158"/>
      <c r="G330" s="156"/>
      <c r="H330" s="156"/>
      <c r="I330" s="158"/>
      <c r="J330" s="158"/>
    </row>
    <row r="331" spans="1:10" x14ac:dyDescent="0.2">
      <c r="A331" s="156"/>
      <c r="B331" s="156"/>
      <c r="C331" s="156"/>
      <c r="D331" s="158"/>
      <c r="E331" s="158"/>
      <c r="F331" s="157"/>
      <c r="G331" s="156"/>
      <c r="H331" s="156"/>
      <c r="I331" s="158"/>
      <c r="J331" s="158"/>
    </row>
    <row r="332" spans="1:10" x14ac:dyDescent="0.2">
      <c r="A332" s="156"/>
      <c r="B332" s="156"/>
      <c r="C332" s="156"/>
      <c r="D332" s="158"/>
      <c r="E332" s="158"/>
      <c r="F332" s="157"/>
      <c r="G332" s="156"/>
      <c r="H332" s="156"/>
      <c r="I332" s="158"/>
      <c r="J332" s="158"/>
    </row>
    <row r="333" spans="1:10" x14ac:dyDescent="0.2">
      <c r="A333" s="156"/>
      <c r="B333" s="156"/>
      <c r="C333" s="156"/>
      <c r="D333" s="158"/>
      <c r="E333" s="158"/>
      <c r="F333" s="158"/>
      <c r="G333" s="156"/>
      <c r="H333" s="156"/>
      <c r="I333" s="158"/>
      <c r="J333" s="158"/>
    </row>
    <row r="334" spans="1:10" x14ac:dyDescent="0.2">
      <c r="A334" s="156"/>
      <c r="B334" s="156"/>
      <c r="C334" s="156"/>
      <c r="D334" s="158"/>
      <c r="E334" s="158"/>
      <c r="F334" s="157"/>
      <c r="G334" s="156"/>
      <c r="H334" s="156"/>
      <c r="I334" s="158"/>
      <c r="J334" s="158"/>
    </row>
    <row r="335" spans="1:10" ht="12.75" customHeight="1" x14ac:dyDescent="0.2">
      <c r="A335" s="156"/>
      <c r="B335" s="156"/>
      <c r="C335" s="156"/>
      <c r="D335" s="158"/>
      <c r="E335" s="158"/>
      <c r="F335" s="157"/>
      <c r="G335" s="156"/>
      <c r="H335" s="156"/>
      <c r="I335" s="158"/>
      <c r="J335" s="158"/>
    </row>
    <row r="336" spans="1:10" ht="12.75" customHeight="1" x14ac:dyDescent="0.2">
      <c r="A336" s="156"/>
      <c r="B336" s="156"/>
      <c r="C336" s="156"/>
      <c r="D336" s="158"/>
      <c r="E336" s="158"/>
      <c r="F336" s="158"/>
      <c r="G336" s="156"/>
      <c r="H336" s="156"/>
      <c r="I336" s="158"/>
      <c r="J336" s="158"/>
    </row>
    <row r="337" spans="1:10" x14ac:dyDescent="0.2">
      <c r="A337" s="156"/>
      <c r="B337" s="156"/>
      <c r="C337" s="156"/>
      <c r="D337" s="158"/>
      <c r="E337" s="158"/>
      <c r="F337" s="157"/>
      <c r="G337" s="156"/>
      <c r="H337" s="156"/>
      <c r="I337" s="158"/>
      <c r="J337" s="158"/>
    </row>
    <row r="338" spans="1:10" x14ac:dyDescent="0.2">
      <c r="A338" s="156"/>
      <c r="B338" s="156"/>
      <c r="C338" s="156"/>
      <c r="D338" s="158"/>
      <c r="E338" s="158"/>
      <c r="F338" s="157"/>
      <c r="G338" s="156"/>
      <c r="H338" s="156"/>
      <c r="I338" s="158"/>
      <c r="J338" s="158"/>
    </row>
    <row r="339" spans="1:10" x14ac:dyDescent="0.2">
      <c r="A339" s="156"/>
      <c r="B339" s="156"/>
      <c r="C339" s="156"/>
      <c r="D339" s="158"/>
      <c r="E339" s="158"/>
      <c r="F339" s="158"/>
      <c r="G339" s="156"/>
      <c r="H339" s="156"/>
      <c r="I339" s="158"/>
      <c r="J339" s="158"/>
    </row>
    <row r="340" spans="1:10" x14ac:dyDescent="0.2">
      <c r="A340" s="156"/>
      <c r="B340" s="156"/>
      <c r="C340" s="156"/>
      <c r="D340" s="158"/>
      <c r="E340" s="158"/>
      <c r="F340" s="157"/>
      <c r="G340" s="156"/>
      <c r="H340" s="156"/>
      <c r="I340" s="158"/>
      <c r="J340" s="158"/>
    </row>
    <row r="341" spans="1:10" x14ac:dyDescent="0.2">
      <c r="A341" s="156"/>
      <c r="B341" s="156"/>
      <c r="C341" s="156"/>
      <c r="D341" s="158"/>
      <c r="E341" s="158"/>
      <c r="F341" s="157"/>
      <c r="G341" s="156"/>
      <c r="H341" s="156"/>
      <c r="I341" s="158"/>
      <c r="J341" s="158"/>
    </row>
    <row r="342" spans="1:10" ht="12.75" customHeight="1" x14ac:dyDescent="0.2">
      <c r="A342" s="156"/>
      <c r="B342" s="156"/>
      <c r="C342" s="156"/>
      <c r="D342" s="158"/>
      <c r="E342" s="158"/>
      <c r="F342" s="158"/>
      <c r="G342" s="156"/>
      <c r="H342" s="156"/>
      <c r="I342" s="158"/>
      <c r="J342" s="158"/>
    </row>
    <row r="343" spans="1:10" ht="12.75" customHeight="1" x14ac:dyDescent="0.2">
      <c r="A343" s="156"/>
      <c r="B343" s="156"/>
      <c r="C343" s="156"/>
      <c r="D343" s="158"/>
      <c r="E343" s="158"/>
      <c r="F343" s="157"/>
      <c r="G343" s="156"/>
      <c r="H343" s="156"/>
      <c r="I343" s="158"/>
      <c r="J343" s="158"/>
    </row>
    <row r="344" spans="1:10" x14ac:dyDescent="0.2">
      <c r="A344" s="156"/>
      <c r="B344" s="156"/>
      <c r="C344" s="156"/>
      <c r="D344" s="158"/>
      <c r="E344" s="158"/>
      <c r="F344" s="157"/>
      <c r="G344" s="156"/>
      <c r="H344" s="156"/>
      <c r="I344" s="158"/>
      <c r="J344" s="158"/>
    </row>
    <row r="345" spans="1:10" x14ac:dyDescent="0.2">
      <c r="A345" s="156"/>
      <c r="B345" s="156"/>
      <c r="C345" s="156"/>
      <c r="D345" s="158"/>
      <c r="E345" s="158"/>
      <c r="F345" s="158"/>
      <c r="G345" s="156"/>
      <c r="H345" s="156"/>
      <c r="I345" s="158"/>
      <c r="J345" s="158"/>
    </row>
    <row r="346" spans="1:10" x14ac:dyDescent="0.2">
      <c r="A346" s="156"/>
      <c r="B346" s="156"/>
      <c r="C346" s="156"/>
      <c r="D346" s="158"/>
      <c r="E346" s="158"/>
      <c r="F346" s="157"/>
      <c r="G346" s="156"/>
      <c r="H346" s="156"/>
      <c r="I346" s="158"/>
      <c r="J346" s="158"/>
    </row>
    <row r="347" spans="1:10" x14ac:dyDescent="0.2">
      <c r="A347" s="156"/>
      <c r="B347" s="156"/>
      <c r="C347" s="156"/>
      <c r="D347" s="158"/>
      <c r="E347" s="158"/>
      <c r="F347" s="157"/>
      <c r="G347" s="156"/>
      <c r="H347" s="156"/>
      <c r="I347" s="158"/>
      <c r="J347" s="158"/>
    </row>
    <row r="348" spans="1:10" x14ac:dyDescent="0.2">
      <c r="A348" s="156"/>
      <c r="B348" s="156"/>
      <c r="C348" s="156"/>
      <c r="D348" s="158"/>
      <c r="E348" s="158"/>
      <c r="F348" s="158"/>
      <c r="G348" s="156"/>
      <c r="H348" s="156"/>
      <c r="I348" s="158"/>
      <c r="J348" s="158"/>
    </row>
    <row r="349" spans="1:10" ht="12.75" customHeight="1" x14ac:dyDescent="0.2">
      <c r="A349" s="156"/>
      <c r="B349" s="156"/>
      <c r="C349" s="156"/>
      <c r="D349" s="158"/>
      <c r="E349" s="158"/>
      <c r="F349" s="157"/>
      <c r="G349" s="156"/>
      <c r="H349" s="156"/>
      <c r="I349" s="158"/>
      <c r="J349" s="158"/>
    </row>
    <row r="350" spans="1:10" ht="12.75" customHeight="1" x14ac:dyDescent="0.2">
      <c r="A350" s="156"/>
      <c r="B350" s="156"/>
      <c r="C350" s="156"/>
      <c r="D350" s="158"/>
      <c r="E350" s="158"/>
      <c r="F350" s="157"/>
      <c r="G350" s="156"/>
      <c r="H350" s="156"/>
      <c r="I350" s="158"/>
      <c r="J350" s="158"/>
    </row>
    <row r="351" spans="1:10" x14ac:dyDescent="0.2">
      <c r="A351" s="156"/>
      <c r="B351" s="156"/>
      <c r="C351" s="156"/>
      <c r="D351" s="158"/>
      <c r="E351" s="158"/>
      <c r="F351" s="158"/>
      <c r="G351" s="156"/>
      <c r="H351" s="156"/>
      <c r="I351" s="158"/>
      <c r="J351" s="158"/>
    </row>
    <row r="352" spans="1:10" x14ac:dyDescent="0.2">
      <c r="A352" s="156"/>
      <c r="B352" s="156"/>
      <c r="C352" s="156"/>
      <c r="D352" s="158"/>
      <c r="E352" s="158"/>
      <c r="F352" s="157"/>
      <c r="G352" s="156"/>
      <c r="H352" s="156"/>
      <c r="I352" s="158"/>
      <c r="J352" s="158"/>
    </row>
    <row r="353" spans="1:10" x14ac:dyDescent="0.2">
      <c r="A353" s="156"/>
      <c r="B353" s="156"/>
      <c r="C353" s="156"/>
      <c r="D353" s="158"/>
      <c r="E353" s="158"/>
      <c r="F353" s="157"/>
      <c r="G353" s="156"/>
      <c r="H353" s="156"/>
      <c r="I353" s="158"/>
      <c r="J353" s="158"/>
    </row>
    <row r="354" spans="1:10" x14ac:dyDescent="0.2">
      <c r="A354" s="156"/>
      <c r="B354" s="156"/>
      <c r="C354" s="156"/>
      <c r="D354" s="158"/>
      <c r="E354" s="158"/>
      <c r="F354" s="158"/>
      <c r="G354" s="156"/>
      <c r="H354" s="156"/>
      <c r="I354" s="158"/>
      <c r="J354" s="158"/>
    </row>
    <row r="355" spans="1:10" x14ac:dyDescent="0.2">
      <c r="A355" s="156"/>
      <c r="B355" s="156"/>
      <c r="C355" s="156"/>
      <c r="D355" s="158"/>
      <c r="E355" s="158"/>
      <c r="F355" s="157"/>
      <c r="G355" s="156"/>
      <c r="H355" s="156"/>
      <c r="I355" s="158"/>
      <c r="J355" s="158"/>
    </row>
    <row r="356" spans="1:10" ht="12.75" customHeight="1" x14ac:dyDescent="0.2">
      <c r="A356" s="156"/>
      <c r="B356" s="156"/>
      <c r="C356" s="156"/>
      <c r="D356" s="158"/>
      <c r="E356" s="158"/>
      <c r="F356" s="157"/>
      <c r="G356" s="156"/>
      <c r="H356" s="156"/>
      <c r="I356" s="158"/>
      <c r="J356" s="158"/>
    </row>
    <row r="357" spans="1:10" ht="12.75" customHeight="1" x14ac:dyDescent="0.2">
      <c r="A357" s="156"/>
      <c r="B357" s="156"/>
      <c r="C357" s="156"/>
      <c r="D357" s="158"/>
      <c r="E357" s="158"/>
      <c r="F357" s="158"/>
      <c r="G357" s="156"/>
      <c r="H357" s="156"/>
      <c r="I357" s="158"/>
      <c r="J357" s="158"/>
    </row>
    <row r="358" spans="1:10" x14ac:dyDescent="0.2">
      <c r="A358" s="156"/>
      <c r="B358" s="156"/>
      <c r="C358" s="156"/>
      <c r="D358" s="158"/>
      <c r="E358" s="158"/>
      <c r="F358" s="157"/>
      <c r="G358" s="156"/>
      <c r="H358" s="156"/>
      <c r="I358" s="158"/>
      <c r="J358" s="158"/>
    </row>
    <row r="359" spans="1:10" x14ac:dyDescent="0.2">
      <c r="A359" s="156"/>
      <c r="B359" s="156"/>
      <c r="C359" s="156"/>
      <c r="D359" s="158"/>
      <c r="E359" s="158"/>
      <c r="F359" s="157"/>
      <c r="G359" s="156"/>
      <c r="H359" s="156"/>
      <c r="I359" s="158"/>
      <c r="J359" s="158"/>
    </row>
    <row r="360" spans="1:10" x14ac:dyDescent="0.2">
      <c r="A360" s="156"/>
      <c r="B360" s="156"/>
      <c r="C360" s="156"/>
      <c r="D360" s="158"/>
      <c r="E360" s="158"/>
      <c r="F360" s="158"/>
      <c r="G360" s="156"/>
      <c r="H360" s="156"/>
      <c r="I360" s="158"/>
      <c r="J360" s="158"/>
    </row>
    <row r="361" spans="1:10" x14ac:dyDescent="0.2">
      <c r="A361" s="156"/>
      <c r="B361" s="156"/>
      <c r="C361" s="156"/>
      <c r="D361" s="158"/>
      <c r="E361" s="158"/>
      <c r="F361" s="157"/>
      <c r="G361" s="156"/>
      <c r="H361" s="156"/>
      <c r="I361" s="158"/>
      <c r="J361" s="158"/>
    </row>
    <row r="362" spans="1:10" x14ac:dyDescent="0.2">
      <c r="A362" s="156"/>
      <c r="B362" s="156"/>
      <c r="C362" s="156"/>
      <c r="D362" s="158"/>
      <c r="E362" s="158"/>
      <c r="F362" s="157"/>
      <c r="G362" s="156"/>
      <c r="H362" s="156"/>
      <c r="I362" s="158"/>
      <c r="J362" s="158"/>
    </row>
    <row r="363" spans="1:10" ht="12.75" customHeight="1" x14ac:dyDescent="0.2">
      <c r="A363" s="156"/>
      <c r="B363" s="156"/>
      <c r="C363" s="156"/>
      <c r="D363" s="158"/>
      <c r="E363" s="158"/>
      <c r="F363" s="158"/>
      <c r="G363" s="156"/>
      <c r="H363" s="156"/>
      <c r="I363" s="158"/>
      <c r="J363" s="158"/>
    </row>
    <row r="364" spans="1:10" ht="12.75" customHeight="1" x14ac:dyDescent="0.2">
      <c r="A364" s="156"/>
      <c r="B364" s="156"/>
      <c r="C364" s="156"/>
      <c r="D364" s="158"/>
      <c r="E364" s="158"/>
      <c r="F364" s="157"/>
      <c r="G364" s="156"/>
      <c r="H364" s="156"/>
      <c r="I364" s="158"/>
      <c r="J364" s="158"/>
    </row>
    <row r="365" spans="1:10" x14ac:dyDescent="0.2">
      <c r="A365" s="156"/>
      <c r="B365" s="156"/>
      <c r="C365" s="156"/>
      <c r="D365" s="158"/>
      <c r="E365" s="158"/>
      <c r="F365" s="157"/>
      <c r="G365" s="156"/>
      <c r="H365" s="156"/>
      <c r="I365" s="158"/>
      <c r="J365" s="158"/>
    </row>
    <row r="366" spans="1:10" x14ac:dyDescent="0.2">
      <c r="A366" s="156"/>
      <c r="B366" s="156"/>
      <c r="C366" s="156"/>
      <c r="D366" s="158"/>
      <c r="E366" s="158"/>
      <c r="F366" s="158"/>
      <c r="G366" s="156"/>
      <c r="H366" s="156"/>
      <c r="I366" s="158"/>
      <c r="J366" s="158"/>
    </row>
    <row r="367" spans="1:10" x14ac:dyDescent="0.2">
      <c r="A367" s="156"/>
      <c r="B367" s="156"/>
      <c r="C367" s="156"/>
      <c r="D367" s="158"/>
      <c r="E367" s="158"/>
      <c r="F367" s="157"/>
      <c r="G367" s="156"/>
      <c r="H367" s="156"/>
      <c r="I367" s="158"/>
      <c r="J367" s="158"/>
    </row>
    <row r="368" spans="1:10" x14ac:dyDescent="0.2">
      <c r="A368" s="156"/>
      <c r="B368" s="156"/>
      <c r="C368" s="156"/>
      <c r="D368" s="158"/>
      <c r="E368" s="158"/>
      <c r="F368" s="157"/>
      <c r="G368" s="156"/>
      <c r="H368" s="156"/>
      <c r="I368" s="158"/>
      <c r="J368" s="158"/>
    </row>
    <row r="369" spans="1:10" x14ac:dyDescent="0.2">
      <c r="A369" s="156"/>
      <c r="B369" s="156"/>
      <c r="C369" s="156"/>
      <c r="D369" s="158"/>
      <c r="E369" s="158"/>
      <c r="F369" s="158"/>
      <c r="G369" s="156"/>
      <c r="H369" s="156"/>
      <c r="I369" s="158"/>
      <c r="J369" s="158"/>
    </row>
    <row r="370" spans="1:10" ht="12.75" customHeight="1" x14ac:dyDescent="0.2">
      <c r="A370" s="156"/>
      <c r="B370" s="156"/>
      <c r="C370" s="156"/>
      <c r="D370" s="158"/>
      <c r="E370" s="158"/>
      <c r="F370" s="157"/>
      <c r="G370" s="156"/>
      <c r="H370" s="156"/>
      <c r="I370" s="158"/>
      <c r="J370" s="158"/>
    </row>
    <row r="371" spans="1:10" ht="12.75" customHeight="1" x14ac:dyDescent="0.2">
      <c r="A371" s="156"/>
      <c r="B371" s="156"/>
      <c r="C371" s="156"/>
      <c r="D371" s="158"/>
      <c r="E371" s="158"/>
      <c r="F371" s="157"/>
      <c r="G371" s="156"/>
      <c r="H371" s="156"/>
      <c r="I371" s="158"/>
      <c r="J371" s="158"/>
    </row>
    <row r="372" spans="1:10" x14ac:dyDescent="0.2">
      <c r="A372" s="156"/>
      <c r="B372" s="156"/>
      <c r="C372" s="156"/>
      <c r="D372" s="158"/>
      <c r="E372" s="158"/>
      <c r="F372" s="158"/>
      <c r="G372" s="156"/>
      <c r="H372" s="156"/>
      <c r="I372" s="158"/>
      <c r="J372" s="158"/>
    </row>
    <row r="373" spans="1:10" x14ac:dyDescent="0.2">
      <c r="A373" s="156"/>
      <c r="B373" s="156"/>
      <c r="C373" s="156"/>
      <c r="D373" s="158"/>
      <c r="E373" s="158"/>
      <c r="F373" s="157"/>
      <c r="G373" s="156"/>
      <c r="H373" s="156"/>
      <c r="I373" s="158"/>
      <c r="J373" s="158"/>
    </row>
    <row r="374" spans="1:10" x14ac:dyDescent="0.2">
      <c r="A374" s="156"/>
      <c r="B374" s="156"/>
      <c r="C374" s="156"/>
      <c r="D374" s="158"/>
      <c r="E374" s="158"/>
      <c r="F374" s="157"/>
      <c r="G374" s="156"/>
      <c r="H374" s="156"/>
      <c r="I374" s="158"/>
      <c r="J374" s="158"/>
    </row>
    <row r="375" spans="1:10" x14ac:dyDescent="0.2">
      <c r="A375" s="156"/>
      <c r="B375" s="156"/>
      <c r="C375" s="156"/>
      <c r="D375" s="158"/>
      <c r="E375" s="158"/>
      <c r="F375" s="158"/>
      <c r="G375" s="156"/>
      <c r="H375" s="156"/>
      <c r="I375" s="158"/>
      <c r="J375" s="158"/>
    </row>
    <row r="376" spans="1:10" x14ac:dyDescent="0.2">
      <c r="A376" s="156"/>
      <c r="B376" s="156"/>
      <c r="C376" s="156"/>
      <c r="D376" s="158"/>
      <c r="E376" s="158"/>
      <c r="F376" s="157"/>
      <c r="G376" s="156"/>
      <c r="H376" s="156"/>
      <c r="I376" s="158"/>
      <c r="J376" s="158"/>
    </row>
    <row r="377" spans="1:10" ht="12.75" customHeight="1" x14ac:dyDescent="0.2">
      <c r="A377" s="156"/>
      <c r="B377" s="156"/>
      <c r="C377" s="156"/>
      <c r="D377" s="158"/>
      <c r="E377" s="158"/>
      <c r="F377" s="157"/>
      <c r="G377" s="156"/>
      <c r="H377" s="156"/>
      <c r="I377" s="158"/>
      <c r="J377" s="158"/>
    </row>
    <row r="378" spans="1:10" ht="12.75" customHeight="1" x14ac:dyDescent="0.2">
      <c r="A378" s="156"/>
      <c r="B378" s="156"/>
      <c r="C378" s="156"/>
      <c r="D378" s="158"/>
      <c r="E378" s="158"/>
      <c r="F378" s="158"/>
      <c r="G378" s="156"/>
      <c r="H378" s="156"/>
      <c r="I378" s="158"/>
      <c r="J378" s="158"/>
    </row>
    <row r="379" spans="1:10" x14ac:dyDescent="0.2">
      <c r="A379" s="156"/>
      <c r="B379" s="156"/>
      <c r="C379" s="156"/>
      <c r="D379" s="158"/>
      <c r="E379" s="158"/>
      <c r="F379" s="157"/>
      <c r="G379" s="156"/>
      <c r="H379" s="156"/>
      <c r="I379" s="158"/>
      <c r="J379" s="158"/>
    </row>
    <row r="380" spans="1:10" x14ac:dyDescent="0.2">
      <c r="A380" s="156"/>
      <c r="B380" s="156"/>
      <c r="C380" s="156"/>
      <c r="D380" s="158"/>
      <c r="E380" s="158"/>
      <c r="F380" s="157"/>
      <c r="G380" s="156"/>
      <c r="H380" s="156"/>
      <c r="I380" s="158"/>
      <c r="J380" s="158"/>
    </row>
    <row r="381" spans="1:10" x14ac:dyDescent="0.2">
      <c r="A381" s="156"/>
      <c r="B381" s="156"/>
      <c r="C381" s="156"/>
      <c r="D381" s="158"/>
      <c r="E381" s="158"/>
      <c r="F381" s="158"/>
      <c r="G381" s="156"/>
      <c r="H381" s="156"/>
      <c r="I381" s="158"/>
      <c r="J381" s="158"/>
    </row>
    <row r="382" spans="1:10" x14ac:dyDescent="0.2">
      <c r="A382" s="156"/>
      <c r="B382" s="156"/>
      <c r="C382" s="156"/>
      <c r="D382" s="158"/>
      <c r="E382" s="158"/>
      <c r="F382" s="157"/>
      <c r="G382" s="156"/>
      <c r="H382" s="156"/>
      <c r="I382" s="158"/>
      <c r="J382" s="158"/>
    </row>
    <row r="383" spans="1:10" x14ac:dyDescent="0.2">
      <c r="A383" s="156"/>
      <c r="B383" s="156"/>
      <c r="C383" s="156"/>
      <c r="D383" s="158"/>
      <c r="E383" s="158"/>
      <c r="F383" s="157"/>
      <c r="G383" s="156"/>
      <c r="H383" s="156"/>
      <c r="I383" s="158"/>
      <c r="J383" s="158"/>
    </row>
    <row r="384" spans="1:10" ht="12.75" customHeight="1" x14ac:dyDescent="0.2">
      <c r="A384" s="156"/>
      <c r="B384" s="156"/>
      <c r="C384" s="156"/>
      <c r="D384" s="158"/>
      <c r="E384" s="158"/>
      <c r="F384" s="158"/>
      <c r="G384" s="156"/>
      <c r="H384" s="156"/>
      <c r="I384" s="158"/>
      <c r="J384" s="158"/>
    </row>
    <row r="385" spans="1:10" ht="12.75" customHeight="1" x14ac:dyDescent="0.2">
      <c r="A385" s="156"/>
      <c r="B385" s="156"/>
      <c r="C385" s="156"/>
      <c r="D385" s="158"/>
      <c r="E385" s="158"/>
      <c r="F385" s="157"/>
      <c r="G385" s="156"/>
      <c r="H385" s="156"/>
      <c r="I385" s="158"/>
      <c r="J385" s="158"/>
    </row>
    <row r="386" spans="1:10" x14ac:dyDescent="0.2">
      <c r="A386" s="156"/>
      <c r="B386" s="156"/>
      <c r="C386" s="156"/>
      <c r="D386" s="158"/>
      <c r="E386" s="158"/>
      <c r="F386" s="157"/>
      <c r="G386" s="156"/>
      <c r="H386" s="156"/>
      <c r="I386" s="158"/>
      <c r="J386" s="158"/>
    </row>
    <row r="387" spans="1:10" x14ac:dyDescent="0.2">
      <c r="A387" s="156"/>
      <c r="B387" s="156"/>
      <c r="C387" s="156"/>
      <c r="D387" s="158"/>
      <c r="E387" s="158"/>
      <c r="F387" s="158"/>
      <c r="G387" s="156"/>
      <c r="H387" s="156"/>
      <c r="I387" s="158"/>
      <c r="J387" s="158"/>
    </row>
    <row r="388" spans="1:10" x14ac:dyDescent="0.2">
      <c r="A388" s="156"/>
      <c r="B388" s="156"/>
      <c r="C388" s="156"/>
      <c r="D388" s="158"/>
      <c r="E388" s="158"/>
      <c r="F388" s="157"/>
      <c r="G388" s="156"/>
      <c r="H388" s="156"/>
      <c r="I388" s="158"/>
      <c r="J388" s="158"/>
    </row>
    <row r="389" spans="1:10" x14ac:dyDescent="0.2">
      <c r="A389" s="156"/>
      <c r="B389" s="156"/>
      <c r="C389" s="156"/>
      <c r="D389" s="158"/>
      <c r="E389" s="158"/>
      <c r="F389" s="157"/>
      <c r="G389" s="156"/>
      <c r="H389" s="156"/>
      <c r="I389" s="158"/>
      <c r="J389" s="158"/>
    </row>
    <row r="390" spans="1:10" x14ac:dyDescent="0.2">
      <c r="A390" s="156"/>
      <c r="B390" s="156"/>
      <c r="C390" s="156"/>
      <c r="D390" s="158"/>
      <c r="E390" s="158"/>
      <c r="F390" s="158"/>
      <c r="G390" s="156"/>
      <c r="H390" s="156"/>
      <c r="I390" s="158"/>
      <c r="J390" s="158"/>
    </row>
    <row r="391" spans="1:10" ht="12.75" customHeight="1" x14ac:dyDescent="0.2">
      <c r="A391" s="156"/>
      <c r="B391" s="156"/>
      <c r="C391" s="156"/>
      <c r="D391" s="158"/>
      <c r="E391" s="158"/>
      <c r="F391" s="157"/>
      <c r="G391" s="156"/>
      <c r="H391" s="156"/>
      <c r="I391" s="158"/>
      <c r="J391" s="158"/>
    </row>
    <row r="392" spans="1:10" ht="12.75" customHeight="1" x14ac:dyDescent="0.2">
      <c r="A392" s="156"/>
      <c r="B392" s="156"/>
      <c r="C392" s="156"/>
      <c r="D392" s="158"/>
      <c r="E392" s="158"/>
      <c r="F392" s="157"/>
      <c r="G392" s="156"/>
      <c r="H392" s="156"/>
      <c r="I392" s="158"/>
      <c r="J392" s="158"/>
    </row>
    <row r="393" spans="1:10" x14ac:dyDescent="0.2">
      <c r="A393" s="156"/>
      <c r="B393" s="156"/>
      <c r="C393" s="156"/>
      <c r="D393" s="158"/>
      <c r="E393" s="158"/>
      <c r="F393" s="158"/>
      <c r="G393" s="156"/>
      <c r="H393" s="156"/>
      <c r="I393" s="158"/>
      <c r="J393" s="158"/>
    </row>
    <row r="394" spans="1:10" x14ac:dyDescent="0.2">
      <c r="A394" s="156"/>
      <c r="B394" s="156"/>
      <c r="C394" s="156"/>
      <c r="D394" s="158"/>
      <c r="E394" s="158"/>
      <c r="F394" s="157"/>
      <c r="G394" s="156"/>
      <c r="H394" s="156"/>
      <c r="I394" s="158"/>
      <c r="J394" s="158"/>
    </row>
    <row r="395" spans="1:10" x14ac:dyDescent="0.2">
      <c r="A395" s="156"/>
      <c r="B395" s="156"/>
      <c r="C395" s="156"/>
      <c r="D395" s="158"/>
      <c r="E395" s="158"/>
      <c r="F395" s="157"/>
      <c r="G395" s="156"/>
      <c r="H395" s="156"/>
      <c r="I395" s="158"/>
      <c r="J395" s="158"/>
    </row>
    <row r="396" spans="1:10" x14ac:dyDescent="0.2">
      <c r="A396" s="156"/>
      <c r="B396" s="156"/>
      <c r="C396" s="156"/>
      <c r="D396" s="158"/>
      <c r="E396" s="158"/>
      <c r="F396" s="158"/>
      <c r="G396" s="156"/>
      <c r="H396" s="156"/>
      <c r="I396" s="158"/>
      <c r="J396" s="158"/>
    </row>
    <row r="397" spans="1:10" x14ac:dyDescent="0.2">
      <c r="A397" s="156"/>
      <c r="B397" s="156"/>
      <c r="C397" s="156"/>
      <c r="D397" s="158"/>
      <c r="E397" s="158"/>
      <c r="F397" s="157"/>
      <c r="G397" s="156"/>
      <c r="H397" s="156"/>
      <c r="I397" s="158"/>
      <c r="J397" s="158"/>
    </row>
    <row r="398" spans="1:10" ht="12.75" customHeight="1" x14ac:dyDescent="0.2">
      <c r="A398" s="156"/>
      <c r="B398" s="156"/>
      <c r="C398" s="156"/>
      <c r="D398" s="158"/>
      <c r="E398" s="158"/>
      <c r="F398" s="157"/>
      <c r="G398" s="156"/>
      <c r="H398" s="156"/>
      <c r="I398" s="158"/>
      <c r="J398" s="158"/>
    </row>
    <row r="399" spans="1:10" ht="12.75" customHeight="1" x14ac:dyDescent="0.2">
      <c r="A399" s="156"/>
      <c r="B399" s="156"/>
      <c r="C399" s="156"/>
      <c r="D399" s="158"/>
      <c r="E399" s="158"/>
      <c r="F399" s="158"/>
      <c r="G399" s="156"/>
      <c r="H399" s="156"/>
      <c r="I399" s="158"/>
      <c r="J399" s="158"/>
    </row>
    <row r="400" spans="1:10" x14ac:dyDescent="0.2">
      <c r="A400" s="156"/>
      <c r="B400" s="156"/>
      <c r="C400" s="156"/>
      <c r="D400" s="158"/>
      <c r="E400" s="158"/>
      <c r="F400" s="157"/>
      <c r="G400" s="156"/>
      <c r="H400" s="156"/>
      <c r="I400" s="158"/>
      <c r="J400" s="158"/>
    </row>
    <row r="401" spans="1:10" x14ac:dyDescent="0.2">
      <c r="A401" s="156"/>
      <c r="B401" s="156"/>
      <c r="C401" s="156"/>
      <c r="D401" s="158"/>
      <c r="E401" s="158"/>
      <c r="F401" s="157"/>
      <c r="G401" s="156"/>
      <c r="H401" s="156"/>
      <c r="I401" s="158"/>
      <c r="J401" s="158"/>
    </row>
    <row r="402" spans="1:10" x14ac:dyDescent="0.2">
      <c r="A402" s="156"/>
      <c r="B402" s="156"/>
      <c r="C402" s="156"/>
      <c r="D402" s="158"/>
      <c r="E402" s="158"/>
      <c r="F402" s="158"/>
      <c r="G402" s="156"/>
      <c r="H402" s="156"/>
      <c r="I402" s="158"/>
      <c r="J402" s="158"/>
    </row>
    <row r="403" spans="1:10" x14ac:dyDescent="0.2">
      <c r="A403" s="156"/>
      <c r="B403" s="156"/>
      <c r="C403" s="156"/>
      <c r="D403" s="158"/>
      <c r="E403" s="158"/>
      <c r="F403" s="157"/>
      <c r="G403" s="156"/>
      <c r="H403" s="156"/>
      <c r="I403" s="158"/>
      <c r="J403" s="158"/>
    </row>
    <row r="404" spans="1:10" x14ac:dyDescent="0.2">
      <c r="A404" s="156"/>
      <c r="B404" s="156"/>
      <c r="C404" s="156"/>
      <c r="D404" s="158"/>
      <c r="E404" s="158"/>
      <c r="F404" s="157"/>
      <c r="G404" s="156"/>
      <c r="H404" s="156"/>
      <c r="I404" s="158"/>
      <c r="J404" s="158"/>
    </row>
    <row r="405" spans="1:10" ht="12.75" customHeight="1" x14ac:dyDescent="0.2">
      <c r="A405" s="156"/>
      <c r="B405" s="156"/>
      <c r="C405" s="156"/>
      <c r="D405" s="158"/>
      <c r="E405" s="158"/>
      <c r="F405" s="158"/>
      <c r="G405" s="156"/>
      <c r="H405" s="156"/>
      <c r="I405" s="158"/>
      <c r="J405" s="158"/>
    </row>
    <row r="406" spans="1:10" ht="12.75" customHeight="1" x14ac:dyDescent="0.2">
      <c r="A406" s="156"/>
      <c r="B406" s="156"/>
      <c r="C406" s="156"/>
      <c r="D406" s="158"/>
      <c r="E406" s="158"/>
      <c r="F406" s="157"/>
      <c r="G406" s="156"/>
      <c r="H406" s="156"/>
      <c r="I406" s="158"/>
      <c r="J406" s="158"/>
    </row>
    <row r="407" spans="1:10" x14ac:dyDescent="0.2">
      <c r="A407" s="156"/>
      <c r="B407" s="156"/>
      <c r="C407" s="156"/>
      <c r="D407" s="158"/>
      <c r="E407" s="158"/>
      <c r="F407" s="157"/>
      <c r="G407" s="156"/>
      <c r="H407" s="156"/>
      <c r="I407" s="158"/>
      <c r="J407" s="158"/>
    </row>
    <row r="408" spans="1:10" x14ac:dyDescent="0.2">
      <c r="A408" s="156"/>
      <c r="B408" s="156"/>
      <c r="C408" s="156"/>
      <c r="D408" s="158"/>
      <c r="E408" s="158"/>
      <c r="F408" s="158"/>
      <c r="G408" s="156"/>
      <c r="H408" s="156"/>
      <c r="I408" s="158"/>
      <c r="J408" s="158"/>
    </row>
    <row r="409" spans="1:10" x14ac:dyDescent="0.2">
      <c r="A409" s="156"/>
      <c r="B409" s="156"/>
      <c r="C409" s="156"/>
      <c r="D409" s="158"/>
      <c r="E409" s="158"/>
      <c r="F409" s="157"/>
      <c r="G409" s="156"/>
      <c r="H409" s="156"/>
      <c r="I409" s="158"/>
      <c r="J409" s="158"/>
    </row>
    <row r="410" spans="1:10" x14ac:dyDescent="0.2">
      <c r="A410" s="156"/>
      <c r="B410" s="156"/>
      <c r="C410" s="156"/>
      <c r="D410" s="158"/>
      <c r="E410" s="158"/>
      <c r="F410" s="157"/>
      <c r="G410" s="156"/>
      <c r="H410" s="156"/>
      <c r="I410" s="158"/>
      <c r="J410" s="158"/>
    </row>
    <row r="411" spans="1:10" x14ac:dyDescent="0.2">
      <c r="A411" s="156"/>
      <c r="B411" s="156"/>
      <c r="C411" s="156"/>
      <c r="D411" s="158"/>
      <c r="E411" s="158"/>
      <c r="F411" s="158"/>
      <c r="G411" s="156"/>
      <c r="H411" s="156"/>
      <c r="I411" s="158"/>
      <c r="J411" s="158"/>
    </row>
    <row r="412" spans="1:10" ht="12.75" customHeight="1" x14ac:dyDescent="0.2">
      <c r="A412" s="156"/>
      <c r="B412" s="156"/>
      <c r="C412" s="156"/>
      <c r="D412" s="158"/>
      <c r="E412" s="158"/>
      <c r="F412" s="157"/>
      <c r="G412" s="156"/>
      <c r="H412" s="156"/>
      <c r="I412" s="158"/>
      <c r="J412" s="158"/>
    </row>
    <row r="413" spans="1:10" ht="12.75" customHeight="1" x14ac:dyDescent="0.2">
      <c r="A413" s="156"/>
      <c r="B413" s="156"/>
      <c r="C413" s="156"/>
      <c r="D413" s="158"/>
      <c r="E413" s="158"/>
      <c r="F413" s="157"/>
      <c r="G413" s="156"/>
      <c r="H413" s="156"/>
      <c r="I413" s="158"/>
      <c r="J413" s="158"/>
    </row>
    <row r="414" spans="1:10" x14ac:dyDescent="0.2">
      <c r="A414" s="156"/>
      <c r="B414" s="156"/>
      <c r="C414" s="156"/>
      <c r="D414" s="158"/>
      <c r="E414" s="158"/>
      <c r="F414" s="158"/>
      <c r="G414" s="156"/>
      <c r="H414" s="156"/>
      <c r="I414" s="158"/>
      <c r="J414" s="158"/>
    </row>
    <row r="415" spans="1:10" x14ac:dyDescent="0.2">
      <c r="A415" s="156"/>
      <c r="B415" s="156"/>
      <c r="C415" s="156"/>
      <c r="D415" s="158"/>
      <c r="E415" s="158"/>
      <c r="F415" s="157"/>
      <c r="G415" s="156"/>
      <c r="H415" s="156"/>
      <c r="I415" s="158"/>
      <c r="J415" s="158"/>
    </row>
    <row r="416" spans="1:10" x14ac:dyDescent="0.2">
      <c r="A416" s="156"/>
      <c r="B416" s="156"/>
      <c r="C416" s="156"/>
      <c r="D416" s="158"/>
      <c r="E416" s="158"/>
      <c r="F416" s="157"/>
      <c r="G416" s="156"/>
      <c r="H416" s="156"/>
      <c r="I416" s="158"/>
      <c r="J416" s="158"/>
    </row>
    <row r="417" spans="1:10" x14ac:dyDescent="0.2">
      <c r="A417" s="156"/>
      <c r="B417" s="156"/>
      <c r="C417" s="156"/>
      <c r="D417" s="158"/>
      <c r="E417" s="158"/>
      <c r="F417" s="158"/>
      <c r="G417" s="156"/>
      <c r="H417" s="156"/>
      <c r="I417" s="158"/>
      <c r="J417" s="158"/>
    </row>
    <row r="418" spans="1:10" x14ac:dyDescent="0.2">
      <c r="A418" s="156"/>
      <c r="B418" s="156"/>
      <c r="C418" s="156"/>
      <c r="D418" s="158"/>
      <c r="E418" s="158"/>
      <c r="F418" s="157"/>
      <c r="G418" s="156"/>
      <c r="H418" s="156"/>
      <c r="I418" s="158"/>
      <c r="J418" s="158"/>
    </row>
    <row r="419" spans="1:10" ht="12.75" customHeight="1" x14ac:dyDescent="0.2">
      <c r="A419" s="156"/>
      <c r="B419" s="156"/>
      <c r="C419" s="156"/>
      <c r="D419" s="158"/>
      <c r="E419" s="158"/>
      <c r="F419" s="157"/>
      <c r="G419" s="156"/>
      <c r="H419" s="156"/>
      <c r="I419" s="158"/>
      <c r="J419" s="158"/>
    </row>
    <row r="420" spans="1:10" ht="12.75" customHeight="1" x14ac:dyDescent="0.2">
      <c r="A420" s="156"/>
      <c r="B420" s="156"/>
      <c r="C420" s="156"/>
      <c r="D420" s="158"/>
      <c r="E420" s="158"/>
      <c r="F420" s="158"/>
      <c r="G420" s="156"/>
      <c r="H420" s="156"/>
      <c r="I420" s="158"/>
      <c r="J420" s="158"/>
    </row>
    <row r="421" spans="1:10" x14ac:dyDescent="0.2">
      <c r="A421" s="156"/>
      <c r="B421" s="156"/>
      <c r="C421" s="156"/>
      <c r="D421" s="158"/>
      <c r="E421" s="158"/>
      <c r="F421" s="157"/>
      <c r="G421" s="156"/>
      <c r="H421" s="156"/>
      <c r="I421" s="158"/>
      <c r="J421" s="158"/>
    </row>
    <row r="422" spans="1:10" x14ac:dyDescent="0.2">
      <c r="A422" s="156"/>
      <c r="B422" s="156"/>
      <c r="C422" s="156"/>
      <c r="D422" s="158"/>
      <c r="E422" s="158"/>
      <c r="F422" s="157"/>
      <c r="G422" s="156"/>
      <c r="H422" s="156"/>
      <c r="I422" s="158"/>
      <c r="J422" s="158"/>
    </row>
    <row r="423" spans="1:10" x14ac:dyDescent="0.2">
      <c r="A423" s="156"/>
      <c r="B423" s="156"/>
      <c r="C423" s="156"/>
      <c r="D423" s="158"/>
      <c r="E423" s="158"/>
      <c r="F423" s="158"/>
      <c r="G423" s="156"/>
      <c r="H423" s="156"/>
      <c r="I423" s="158"/>
      <c r="J423" s="158"/>
    </row>
    <row r="424" spans="1:10" x14ac:dyDescent="0.2">
      <c r="A424" s="156"/>
      <c r="B424" s="156"/>
      <c r="C424" s="156"/>
      <c r="D424" s="158"/>
      <c r="E424" s="158"/>
      <c r="F424" s="157"/>
      <c r="G424" s="156"/>
      <c r="H424" s="156"/>
      <c r="I424" s="158"/>
      <c r="J424" s="158"/>
    </row>
    <row r="425" spans="1:10" x14ac:dyDescent="0.2">
      <c r="A425" s="156"/>
      <c r="B425" s="156"/>
      <c r="C425" s="156"/>
      <c r="D425" s="158"/>
      <c r="E425" s="158"/>
      <c r="F425" s="157"/>
      <c r="G425" s="156"/>
      <c r="H425" s="156"/>
      <c r="I425" s="158"/>
      <c r="J425" s="158"/>
    </row>
    <row r="426" spans="1:10" ht="12.75" customHeight="1" x14ac:dyDescent="0.2">
      <c r="A426" s="156"/>
      <c r="B426" s="156"/>
      <c r="C426" s="156"/>
      <c r="D426" s="158"/>
      <c r="E426" s="158"/>
      <c r="F426" s="158"/>
      <c r="G426" s="156"/>
      <c r="H426" s="156"/>
      <c r="I426" s="158"/>
      <c r="J426" s="158"/>
    </row>
    <row r="427" spans="1:10" ht="12.75" customHeight="1" x14ac:dyDescent="0.2">
      <c r="A427" s="156"/>
      <c r="B427" s="156"/>
      <c r="C427" s="156"/>
      <c r="D427" s="158"/>
      <c r="E427" s="158"/>
      <c r="F427" s="157"/>
      <c r="G427" s="156"/>
      <c r="H427" s="156"/>
      <c r="I427" s="158"/>
      <c r="J427" s="158"/>
    </row>
    <row r="428" spans="1:10" x14ac:dyDescent="0.2">
      <c r="A428" s="156"/>
      <c r="B428" s="156"/>
      <c r="C428" s="156"/>
      <c r="D428" s="158"/>
      <c r="E428" s="158"/>
      <c r="F428" s="157"/>
      <c r="G428" s="156"/>
      <c r="H428" s="156"/>
      <c r="I428" s="158"/>
      <c r="J428" s="158"/>
    </row>
    <row r="429" spans="1:10" x14ac:dyDescent="0.2">
      <c r="A429" s="156"/>
      <c r="B429" s="156"/>
      <c r="C429" s="156"/>
      <c r="D429" s="158"/>
      <c r="E429" s="158"/>
      <c r="F429" s="158"/>
      <c r="G429" s="156"/>
      <c r="H429" s="156"/>
      <c r="I429" s="158"/>
      <c r="J429" s="158"/>
    </row>
    <row r="430" spans="1:10" x14ac:dyDescent="0.2">
      <c r="A430" s="156"/>
      <c r="B430" s="156"/>
      <c r="C430" s="156"/>
      <c r="D430" s="158"/>
      <c r="E430" s="158"/>
      <c r="F430" s="157"/>
      <c r="G430" s="156"/>
      <c r="H430" s="156"/>
      <c r="I430" s="158"/>
      <c r="J430" s="158"/>
    </row>
    <row r="431" spans="1:10" x14ac:dyDescent="0.2">
      <c r="A431" s="156"/>
      <c r="B431" s="156"/>
      <c r="C431" s="156"/>
      <c r="D431" s="158"/>
      <c r="E431" s="158"/>
      <c r="F431" s="157"/>
      <c r="G431" s="156"/>
      <c r="H431" s="156"/>
      <c r="I431" s="158"/>
      <c r="J431" s="158"/>
    </row>
    <row r="432" spans="1:10" x14ac:dyDescent="0.2">
      <c r="A432" s="156"/>
      <c r="B432" s="156"/>
      <c r="C432" s="156"/>
      <c r="D432" s="158"/>
      <c r="E432" s="158"/>
      <c r="F432" s="158"/>
      <c r="G432" s="156"/>
      <c r="H432" s="156"/>
      <c r="I432" s="158"/>
      <c r="J432" s="158"/>
    </row>
    <row r="433" spans="1:10" ht="12.75" customHeight="1" x14ac:dyDescent="0.2">
      <c r="A433" s="156"/>
      <c r="B433" s="156"/>
      <c r="C433" s="156"/>
      <c r="D433" s="158"/>
      <c r="E433" s="158"/>
      <c r="F433" s="157"/>
      <c r="G433" s="156"/>
      <c r="H433" s="156"/>
      <c r="I433" s="158"/>
      <c r="J433" s="158"/>
    </row>
    <row r="434" spans="1:10" ht="12.75" customHeight="1" x14ac:dyDescent="0.2">
      <c r="A434" s="156"/>
      <c r="B434" s="156"/>
      <c r="C434" s="156"/>
      <c r="D434" s="158"/>
      <c r="E434" s="158"/>
      <c r="F434" s="157"/>
      <c r="G434" s="156"/>
      <c r="H434" s="156"/>
      <c r="I434" s="158"/>
      <c r="J434" s="158"/>
    </row>
    <row r="435" spans="1:10" x14ac:dyDescent="0.2">
      <c r="A435" s="156"/>
      <c r="B435" s="156"/>
      <c r="C435" s="156"/>
      <c r="D435" s="158"/>
      <c r="E435" s="158"/>
      <c r="F435" s="158"/>
      <c r="G435" s="156"/>
      <c r="H435" s="156"/>
      <c r="I435" s="158"/>
      <c r="J435" s="158"/>
    </row>
    <row r="436" spans="1:10" x14ac:dyDescent="0.2">
      <c r="A436" s="156"/>
      <c r="B436" s="156"/>
      <c r="C436" s="156"/>
      <c r="D436" s="158"/>
      <c r="E436" s="158"/>
      <c r="F436" s="157"/>
      <c r="G436" s="156"/>
      <c r="H436" s="156"/>
      <c r="I436" s="158"/>
      <c r="J436" s="158"/>
    </row>
    <row r="437" spans="1:10" x14ac:dyDescent="0.2">
      <c r="A437" s="156"/>
      <c r="B437" s="156"/>
      <c r="C437" s="156"/>
      <c r="D437" s="158"/>
      <c r="E437" s="158"/>
      <c r="F437" s="157"/>
      <c r="G437" s="156"/>
      <c r="H437" s="156"/>
      <c r="I437" s="158"/>
      <c r="J437" s="158"/>
    </row>
    <row r="438" spans="1:10" x14ac:dyDescent="0.2">
      <c r="A438" s="156"/>
      <c r="B438" s="156"/>
      <c r="C438" s="156"/>
      <c r="D438" s="158"/>
      <c r="E438" s="158"/>
      <c r="F438" s="158"/>
      <c r="G438" s="156"/>
      <c r="H438" s="156"/>
      <c r="I438" s="158"/>
      <c r="J438" s="158"/>
    </row>
    <row r="439" spans="1:10" x14ac:dyDescent="0.2">
      <c r="A439" s="156"/>
      <c r="B439" s="156"/>
      <c r="C439" s="156"/>
      <c r="D439" s="158"/>
      <c r="E439" s="158"/>
      <c r="F439" s="157"/>
      <c r="G439" s="156"/>
      <c r="H439" s="156"/>
      <c r="I439" s="158"/>
      <c r="J439" s="158"/>
    </row>
    <row r="440" spans="1:10" ht="12.75" customHeight="1" x14ac:dyDescent="0.2">
      <c r="A440" s="156"/>
      <c r="B440" s="156"/>
      <c r="C440" s="156"/>
      <c r="D440" s="158"/>
      <c r="E440" s="158"/>
      <c r="F440" s="157"/>
      <c r="G440" s="156"/>
      <c r="H440" s="156"/>
      <c r="I440" s="158"/>
      <c r="J440" s="158"/>
    </row>
    <row r="441" spans="1:10" ht="12.75" customHeight="1" x14ac:dyDescent="0.2">
      <c r="A441" s="156"/>
      <c r="B441" s="156"/>
      <c r="C441" s="156"/>
      <c r="D441" s="158"/>
      <c r="E441" s="158"/>
      <c r="F441" s="158"/>
      <c r="G441" s="156"/>
      <c r="H441" s="156"/>
      <c r="I441" s="158"/>
      <c r="J441" s="158"/>
    </row>
    <row r="442" spans="1:10" x14ac:dyDescent="0.2">
      <c r="A442" s="156"/>
      <c r="B442" s="156"/>
      <c r="C442" s="156"/>
      <c r="D442" s="158"/>
      <c r="E442" s="158"/>
      <c r="F442" s="157"/>
      <c r="G442" s="156"/>
      <c r="H442" s="156"/>
      <c r="I442" s="158"/>
      <c r="J442" s="158"/>
    </row>
    <row r="443" spans="1:10" x14ac:dyDescent="0.2">
      <c r="A443" s="156"/>
      <c r="B443" s="156"/>
      <c r="C443" s="156"/>
      <c r="D443" s="158"/>
      <c r="E443" s="158"/>
      <c r="F443" s="157"/>
      <c r="G443" s="156"/>
      <c r="H443" s="156"/>
      <c r="I443" s="158"/>
      <c r="J443" s="158"/>
    </row>
    <row r="444" spans="1:10" x14ac:dyDescent="0.2">
      <c r="A444" s="156"/>
      <c r="B444" s="156"/>
      <c r="C444" s="156"/>
      <c r="D444" s="158"/>
      <c r="E444" s="158"/>
      <c r="F444" s="158"/>
      <c r="G444" s="156"/>
      <c r="H444" s="156"/>
      <c r="I444" s="158"/>
      <c r="J444" s="158"/>
    </row>
    <row r="445" spans="1:10" x14ac:dyDescent="0.2">
      <c r="A445" s="156"/>
      <c r="B445" s="156"/>
      <c r="C445" s="156"/>
      <c r="D445" s="158"/>
      <c r="E445" s="158"/>
      <c r="F445" s="157"/>
      <c r="G445" s="156"/>
      <c r="H445" s="156"/>
      <c r="I445" s="158"/>
      <c r="J445" s="158"/>
    </row>
    <row r="446" spans="1:10" x14ac:dyDescent="0.2">
      <c r="A446" s="156"/>
      <c r="B446" s="156"/>
      <c r="C446" s="156"/>
      <c r="D446" s="158"/>
      <c r="E446" s="158"/>
      <c r="F446" s="157"/>
      <c r="G446" s="156"/>
      <c r="H446" s="156"/>
      <c r="I446" s="158"/>
      <c r="J446" s="158"/>
    </row>
    <row r="447" spans="1:10" ht="12.75" customHeight="1" x14ac:dyDescent="0.2">
      <c r="A447" s="156"/>
      <c r="B447" s="156"/>
      <c r="C447" s="156"/>
      <c r="D447" s="158"/>
      <c r="E447" s="158"/>
      <c r="F447" s="158"/>
      <c r="G447" s="156"/>
      <c r="H447" s="156"/>
      <c r="I447" s="158"/>
      <c r="J447" s="158"/>
    </row>
    <row r="448" spans="1:10" ht="12.75" customHeight="1" x14ac:dyDescent="0.2">
      <c r="A448" s="156"/>
      <c r="B448" s="156"/>
      <c r="C448" s="156"/>
      <c r="D448" s="158"/>
      <c r="E448" s="158"/>
      <c r="F448" s="157"/>
      <c r="G448" s="156"/>
      <c r="H448" s="156"/>
      <c r="I448" s="158"/>
      <c r="J448" s="158"/>
    </row>
    <row r="449" spans="1:10" x14ac:dyDescent="0.2">
      <c r="A449" s="156"/>
      <c r="B449" s="156"/>
      <c r="C449" s="156"/>
      <c r="D449" s="158"/>
      <c r="E449" s="158"/>
      <c r="F449" s="157"/>
      <c r="G449" s="156"/>
      <c r="H449" s="156"/>
      <c r="I449" s="158"/>
      <c r="J449" s="158"/>
    </row>
    <row r="450" spans="1:10" x14ac:dyDescent="0.2">
      <c r="A450" s="156"/>
      <c r="B450" s="156"/>
      <c r="C450" s="156"/>
      <c r="D450" s="158"/>
      <c r="E450" s="158"/>
      <c r="F450" s="158"/>
      <c r="G450" s="156"/>
      <c r="H450" s="156"/>
      <c r="I450" s="158"/>
      <c r="J450" s="158"/>
    </row>
    <row r="451" spans="1:10" x14ac:dyDescent="0.2">
      <c r="A451" s="156"/>
      <c r="B451" s="156"/>
      <c r="C451" s="156"/>
      <c r="D451" s="158"/>
      <c r="E451" s="158"/>
      <c r="F451" s="157"/>
      <c r="G451" s="156"/>
      <c r="H451" s="156"/>
      <c r="I451" s="158"/>
      <c r="J451" s="158"/>
    </row>
    <row r="452" spans="1:10" x14ac:dyDescent="0.2">
      <c r="A452" s="156"/>
      <c r="B452" s="156"/>
      <c r="C452" s="156"/>
      <c r="D452" s="158"/>
      <c r="E452" s="158"/>
      <c r="F452" s="157"/>
      <c r="G452" s="156"/>
      <c r="H452" s="156"/>
      <c r="I452" s="158"/>
      <c r="J452" s="158"/>
    </row>
    <row r="453" spans="1:10" x14ac:dyDescent="0.2">
      <c r="A453" s="156"/>
      <c r="B453" s="156"/>
      <c r="C453" s="156"/>
      <c r="D453" s="158"/>
      <c r="E453" s="158"/>
      <c r="F453" s="158"/>
      <c r="G453" s="156"/>
      <c r="H453" s="156"/>
      <c r="I453" s="158"/>
      <c r="J453" s="158"/>
    </row>
    <row r="454" spans="1:10" ht="12.75" customHeight="1" x14ac:dyDescent="0.2">
      <c r="A454" s="156"/>
      <c r="B454" s="156"/>
      <c r="C454" s="156"/>
      <c r="D454" s="158"/>
      <c r="E454" s="158"/>
      <c r="F454" s="157"/>
      <c r="G454" s="156"/>
      <c r="H454" s="156"/>
      <c r="I454" s="158"/>
      <c r="J454" s="158"/>
    </row>
    <row r="455" spans="1:10" ht="12.75" customHeight="1" x14ac:dyDescent="0.2">
      <c r="A455" s="156"/>
      <c r="B455" s="156"/>
      <c r="C455" s="156"/>
      <c r="D455" s="158"/>
      <c r="E455" s="158"/>
      <c r="F455" s="157"/>
      <c r="G455" s="156"/>
      <c r="H455" s="156"/>
      <c r="I455" s="158"/>
      <c r="J455" s="158"/>
    </row>
    <row r="456" spans="1:10" x14ac:dyDescent="0.2">
      <c r="A456" s="156"/>
      <c r="B456" s="156"/>
      <c r="C456" s="156"/>
      <c r="D456" s="158"/>
      <c r="E456" s="158"/>
      <c r="F456" s="158"/>
      <c r="G456" s="156"/>
      <c r="H456" s="156"/>
      <c r="I456" s="158"/>
      <c r="J456" s="158"/>
    </row>
    <row r="457" spans="1:10" x14ac:dyDescent="0.2">
      <c r="A457" s="156"/>
      <c r="B457" s="156"/>
      <c r="C457" s="156"/>
      <c r="D457" s="158"/>
      <c r="E457" s="158"/>
      <c r="F457" s="157"/>
      <c r="G457" s="156"/>
      <c r="H457" s="156"/>
      <c r="I457" s="158"/>
      <c r="J457" s="158"/>
    </row>
    <row r="458" spans="1:10" x14ac:dyDescent="0.2">
      <c r="A458" s="156"/>
      <c r="B458" s="156"/>
      <c r="C458" s="156"/>
      <c r="D458" s="158"/>
      <c r="E458" s="158"/>
      <c r="F458" s="157"/>
      <c r="G458" s="156"/>
      <c r="H458" s="156"/>
      <c r="I458" s="158"/>
      <c r="J458" s="158"/>
    </row>
    <row r="459" spans="1:10" x14ac:dyDescent="0.2">
      <c r="A459" s="156"/>
      <c r="B459" s="156"/>
      <c r="C459" s="156"/>
      <c r="D459" s="158"/>
      <c r="E459" s="158"/>
      <c r="F459" s="158"/>
      <c r="G459" s="156"/>
      <c r="H459" s="156"/>
      <c r="I459" s="158"/>
      <c r="J459" s="158"/>
    </row>
    <row r="460" spans="1:10" x14ac:dyDescent="0.2">
      <c r="A460" s="156"/>
      <c r="B460" s="156"/>
      <c r="C460" s="156"/>
      <c r="D460" s="158"/>
      <c r="E460" s="158"/>
      <c r="F460" s="157"/>
      <c r="G460" s="156"/>
      <c r="H460" s="156"/>
      <c r="I460" s="158"/>
      <c r="J460" s="158"/>
    </row>
    <row r="461" spans="1:10" ht="12.75" customHeight="1" x14ac:dyDescent="0.2">
      <c r="A461" s="156"/>
      <c r="B461" s="156"/>
      <c r="C461" s="156"/>
      <c r="D461" s="158"/>
      <c r="E461" s="158"/>
      <c r="F461" s="157"/>
      <c r="G461" s="156"/>
      <c r="H461" s="156"/>
      <c r="I461" s="158"/>
      <c r="J461" s="158"/>
    </row>
    <row r="462" spans="1:10" ht="12.75" customHeight="1" x14ac:dyDescent="0.2">
      <c r="A462" s="156"/>
      <c r="B462" s="156"/>
      <c r="C462" s="156"/>
      <c r="D462" s="158"/>
      <c r="E462" s="158"/>
      <c r="F462" s="158"/>
      <c r="G462" s="156"/>
      <c r="H462" s="156"/>
      <c r="I462" s="158"/>
      <c r="J462" s="158"/>
    </row>
    <row r="463" spans="1:10" x14ac:dyDescent="0.2">
      <c r="A463" s="156"/>
      <c r="B463" s="156"/>
      <c r="C463" s="156"/>
      <c r="D463" s="158"/>
      <c r="E463" s="158"/>
      <c r="F463" s="157"/>
      <c r="G463" s="156"/>
      <c r="H463" s="156"/>
      <c r="I463" s="158"/>
      <c r="J463" s="158"/>
    </row>
    <row r="464" spans="1:10" x14ac:dyDescent="0.2">
      <c r="A464" s="156"/>
      <c r="B464" s="156"/>
      <c r="C464" s="156"/>
      <c r="D464" s="158"/>
      <c r="E464" s="158"/>
      <c r="F464" s="157"/>
      <c r="G464" s="156"/>
      <c r="H464" s="156"/>
      <c r="I464" s="158"/>
      <c r="J464" s="158"/>
    </row>
    <row r="465" spans="1:10" x14ac:dyDescent="0.2">
      <c r="A465" s="156"/>
      <c r="B465" s="156"/>
      <c r="C465" s="156"/>
      <c r="D465" s="158"/>
      <c r="E465" s="158"/>
      <c r="F465" s="158"/>
      <c r="G465" s="156"/>
      <c r="H465" s="156"/>
      <c r="I465" s="158"/>
      <c r="J465" s="158"/>
    </row>
    <row r="466" spans="1:10" x14ac:dyDescent="0.2">
      <c r="A466" s="156"/>
      <c r="B466" s="156"/>
      <c r="C466" s="156"/>
      <c r="D466" s="158"/>
      <c r="E466" s="158"/>
      <c r="F466" s="157"/>
      <c r="G466" s="156"/>
      <c r="H466" s="156"/>
      <c r="I466" s="158"/>
      <c r="J466" s="158"/>
    </row>
    <row r="467" spans="1:10" x14ac:dyDescent="0.2">
      <c r="A467" s="156"/>
      <c r="B467" s="156"/>
      <c r="C467" s="156"/>
      <c r="D467" s="158"/>
      <c r="E467" s="158"/>
      <c r="F467" s="157"/>
      <c r="G467" s="156"/>
      <c r="H467" s="156"/>
      <c r="I467" s="158"/>
      <c r="J467" s="158"/>
    </row>
    <row r="468" spans="1:10" ht="12.75" customHeight="1" x14ac:dyDescent="0.2">
      <c r="A468" s="156"/>
      <c r="B468" s="156"/>
      <c r="C468" s="156"/>
      <c r="D468" s="158"/>
      <c r="E468" s="158"/>
      <c r="F468" s="158"/>
      <c r="G468" s="156"/>
      <c r="H468" s="156"/>
      <c r="I468" s="158"/>
      <c r="J468" s="158"/>
    </row>
    <row r="469" spans="1:10" ht="12.75" customHeight="1" x14ac:dyDescent="0.2">
      <c r="A469" s="156"/>
      <c r="B469" s="156"/>
      <c r="C469" s="156"/>
      <c r="D469" s="158"/>
      <c r="E469" s="158"/>
      <c r="F469" s="157"/>
      <c r="G469" s="156"/>
      <c r="H469" s="156"/>
      <c r="I469" s="158"/>
      <c r="J469" s="158"/>
    </row>
    <row r="470" spans="1:10" x14ac:dyDescent="0.2">
      <c r="A470" s="156"/>
      <c r="B470" s="156"/>
      <c r="C470" s="156"/>
      <c r="D470" s="158"/>
      <c r="E470" s="158"/>
      <c r="F470" s="157"/>
      <c r="G470" s="156"/>
      <c r="H470" s="156"/>
      <c r="I470" s="158"/>
      <c r="J470" s="158"/>
    </row>
    <row r="471" spans="1:10" x14ac:dyDescent="0.2">
      <c r="A471" s="156"/>
      <c r="B471" s="156"/>
      <c r="C471" s="156"/>
      <c r="D471" s="158"/>
      <c r="E471" s="158"/>
      <c r="F471" s="158"/>
      <c r="G471" s="156"/>
      <c r="H471" s="156"/>
      <c r="I471" s="158"/>
      <c r="J471" s="158"/>
    </row>
    <row r="472" spans="1:10" x14ac:dyDescent="0.2">
      <c r="A472" s="156"/>
      <c r="B472" s="156"/>
      <c r="C472" s="156"/>
      <c r="D472" s="158"/>
      <c r="E472" s="158"/>
      <c r="F472" s="157"/>
      <c r="G472" s="156"/>
      <c r="H472" s="156"/>
      <c r="I472" s="158"/>
      <c r="J472" s="158"/>
    </row>
    <row r="473" spans="1:10" x14ac:dyDescent="0.2">
      <c r="A473" s="156"/>
      <c r="B473" s="156"/>
      <c r="C473" s="156"/>
      <c r="D473" s="158"/>
      <c r="E473" s="158"/>
      <c r="F473" s="157"/>
      <c r="G473" s="156"/>
      <c r="H473" s="156"/>
      <c r="I473" s="158"/>
      <c r="J473" s="158"/>
    </row>
    <row r="474" spans="1:10" x14ac:dyDescent="0.2">
      <c r="A474" s="156"/>
      <c r="B474" s="156"/>
      <c r="C474" s="156"/>
      <c r="D474" s="158"/>
      <c r="E474" s="158"/>
      <c r="F474" s="158"/>
      <c r="G474" s="156"/>
      <c r="H474" s="156"/>
      <c r="I474" s="158"/>
      <c r="J474" s="158"/>
    </row>
    <row r="475" spans="1:10" ht="12.75" customHeight="1" x14ac:dyDescent="0.2">
      <c r="A475" s="156"/>
      <c r="B475" s="156"/>
      <c r="C475" s="156"/>
      <c r="D475" s="158"/>
      <c r="E475" s="158"/>
      <c r="F475" s="157"/>
      <c r="G475" s="156"/>
      <c r="H475" s="156"/>
      <c r="I475" s="158"/>
      <c r="J475" s="158"/>
    </row>
    <row r="476" spans="1:10" ht="12.75" customHeight="1" x14ac:dyDescent="0.2">
      <c r="A476" s="156"/>
      <c r="B476" s="156"/>
      <c r="C476" s="156"/>
      <c r="D476" s="158"/>
      <c r="E476" s="158"/>
      <c r="F476" s="157"/>
      <c r="G476" s="156"/>
      <c r="H476" s="156"/>
      <c r="I476" s="158"/>
      <c r="J476" s="158"/>
    </row>
    <row r="477" spans="1:10" x14ac:dyDescent="0.2">
      <c r="A477" s="156"/>
      <c r="B477" s="156"/>
      <c r="C477" s="156"/>
      <c r="D477" s="158"/>
      <c r="E477" s="158"/>
      <c r="F477" s="158"/>
      <c r="G477" s="156"/>
      <c r="H477" s="156"/>
      <c r="I477" s="158"/>
      <c r="J477" s="158"/>
    </row>
    <row r="478" spans="1:10" x14ac:dyDescent="0.2">
      <c r="A478" s="156"/>
      <c r="B478" s="156"/>
      <c r="C478" s="156"/>
      <c r="D478" s="158"/>
      <c r="E478" s="158"/>
      <c r="F478" s="157"/>
      <c r="G478" s="156"/>
      <c r="H478" s="156"/>
      <c r="I478" s="158"/>
      <c r="J478" s="158"/>
    </row>
    <row r="479" spans="1:10" x14ac:dyDescent="0.2">
      <c r="A479" s="156"/>
      <c r="B479" s="156"/>
      <c r="C479" s="156"/>
      <c r="D479" s="158"/>
      <c r="E479" s="158"/>
      <c r="F479" s="157"/>
      <c r="G479" s="156"/>
      <c r="H479" s="156"/>
      <c r="I479" s="158"/>
      <c r="J479" s="158"/>
    </row>
    <row r="480" spans="1:10" x14ac:dyDescent="0.2">
      <c r="A480" s="156"/>
      <c r="B480" s="156"/>
      <c r="C480" s="156"/>
      <c r="D480" s="158"/>
      <c r="E480" s="158"/>
      <c r="F480" s="158"/>
      <c r="G480" s="156"/>
      <c r="H480" s="156"/>
      <c r="I480" s="158"/>
      <c r="J480" s="158"/>
    </row>
    <row r="481" spans="1:10" x14ac:dyDescent="0.2">
      <c r="A481" s="156"/>
      <c r="B481" s="156"/>
      <c r="C481" s="156"/>
      <c r="D481" s="158"/>
      <c r="E481" s="158"/>
      <c r="F481" s="157"/>
      <c r="G481" s="156"/>
      <c r="H481" s="156"/>
      <c r="I481" s="158"/>
      <c r="J481" s="158"/>
    </row>
    <row r="482" spans="1:10" ht="12.75" customHeight="1" x14ac:dyDescent="0.2">
      <c r="A482" s="156"/>
      <c r="B482" s="156"/>
      <c r="C482" s="156"/>
      <c r="D482" s="158"/>
      <c r="E482" s="158"/>
      <c r="F482" s="157"/>
      <c r="G482" s="156"/>
      <c r="H482" s="156"/>
      <c r="I482" s="158"/>
      <c r="J482" s="158"/>
    </row>
    <row r="483" spans="1:10" ht="12.75" customHeight="1" x14ac:dyDescent="0.2">
      <c r="A483" s="156"/>
      <c r="B483" s="156"/>
      <c r="C483" s="156"/>
      <c r="D483" s="158"/>
      <c r="E483" s="158"/>
      <c r="F483" s="158"/>
      <c r="G483" s="156"/>
      <c r="H483" s="156"/>
      <c r="I483" s="158"/>
      <c r="J483" s="158"/>
    </row>
    <row r="484" spans="1:10" ht="12.75" customHeight="1" x14ac:dyDescent="0.2">
      <c r="A484" s="156"/>
      <c r="B484" s="156"/>
      <c r="C484" s="156"/>
      <c r="D484" s="158"/>
      <c r="E484" s="158"/>
      <c r="F484" s="157"/>
      <c r="G484" s="156"/>
      <c r="H484" s="156"/>
      <c r="I484" s="158"/>
      <c r="J484" s="158"/>
    </row>
    <row r="485" spans="1:10" x14ac:dyDescent="0.2">
      <c r="A485" s="156"/>
      <c r="B485" s="156"/>
      <c r="C485" s="156"/>
      <c r="D485" s="158"/>
      <c r="E485" s="158"/>
      <c r="F485" s="157"/>
      <c r="G485" s="156"/>
      <c r="H485" s="156"/>
      <c r="I485" s="158"/>
      <c r="J485" s="158"/>
    </row>
    <row r="486" spans="1:10" ht="12.75" customHeight="1" x14ac:dyDescent="0.2">
      <c r="A486" s="156"/>
      <c r="B486" s="156"/>
      <c r="C486" s="156"/>
      <c r="D486" s="158"/>
      <c r="E486" s="158"/>
      <c r="F486" s="158"/>
      <c r="G486" s="156"/>
      <c r="H486" s="156"/>
      <c r="I486" s="158"/>
      <c r="J486" s="158"/>
    </row>
    <row r="487" spans="1:10" x14ac:dyDescent="0.2">
      <c r="A487" s="156"/>
      <c r="B487" s="156"/>
      <c r="C487" s="156"/>
      <c r="D487" s="158"/>
      <c r="E487" s="158"/>
      <c r="F487" s="157"/>
      <c r="G487" s="156"/>
      <c r="H487" s="156"/>
      <c r="I487" s="158"/>
      <c r="J487" s="158"/>
    </row>
    <row r="488" spans="1:10" ht="12.75" customHeight="1" x14ac:dyDescent="0.2">
      <c r="A488" s="156"/>
      <c r="B488" s="156"/>
      <c r="C488" s="156"/>
      <c r="D488" s="158"/>
      <c r="E488" s="158"/>
      <c r="F488" s="157"/>
      <c r="G488" s="156"/>
      <c r="H488" s="156"/>
      <c r="I488" s="158"/>
      <c r="J488" s="158"/>
    </row>
    <row r="489" spans="1:10" x14ac:dyDescent="0.2">
      <c r="A489" s="156"/>
      <c r="B489" s="156"/>
      <c r="C489" s="156"/>
      <c r="D489" s="158"/>
      <c r="E489" s="158"/>
      <c r="F489" s="158"/>
      <c r="G489" s="156"/>
      <c r="H489" s="156"/>
      <c r="I489" s="158"/>
      <c r="J489" s="158"/>
    </row>
    <row r="490" spans="1:10" x14ac:dyDescent="0.2">
      <c r="A490" s="156"/>
      <c r="B490" s="156"/>
      <c r="C490" s="156"/>
      <c r="D490" s="158"/>
      <c r="E490" s="158"/>
      <c r="F490" s="157"/>
      <c r="G490" s="156"/>
      <c r="H490" s="156"/>
      <c r="I490" s="158"/>
      <c r="J490" s="158"/>
    </row>
    <row r="491" spans="1:10" ht="12.75" customHeight="1" x14ac:dyDescent="0.2">
      <c r="A491" s="156"/>
      <c r="B491" s="156"/>
      <c r="C491" s="156"/>
      <c r="D491" s="158"/>
      <c r="E491" s="158"/>
      <c r="F491" s="157"/>
      <c r="G491" s="156"/>
      <c r="H491" s="156"/>
      <c r="I491" s="158"/>
      <c r="J491" s="158"/>
    </row>
    <row r="492" spans="1:10" x14ac:dyDescent="0.2">
      <c r="A492" s="156"/>
      <c r="B492" s="156"/>
      <c r="C492" s="156"/>
      <c r="D492" s="158"/>
      <c r="E492" s="158"/>
      <c r="F492" s="158"/>
      <c r="G492" s="156"/>
      <c r="H492" s="156"/>
      <c r="I492" s="158"/>
      <c r="J492" s="158"/>
    </row>
    <row r="493" spans="1:10" x14ac:dyDescent="0.2">
      <c r="A493" s="156"/>
      <c r="B493" s="156"/>
      <c r="C493" s="156"/>
      <c r="D493" s="158"/>
      <c r="E493" s="158"/>
      <c r="F493" s="157"/>
      <c r="G493" s="156"/>
      <c r="H493" s="156"/>
      <c r="I493" s="158"/>
      <c r="J493" s="158"/>
    </row>
    <row r="494" spans="1:10" x14ac:dyDescent="0.2">
      <c r="A494" s="156"/>
      <c r="B494" s="156"/>
      <c r="C494" s="156"/>
      <c r="D494" s="158"/>
      <c r="E494" s="158"/>
      <c r="F494" s="157"/>
      <c r="G494" s="156"/>
      <c r="H494" s="156"/>
      <c r="I494" s="158"/>
      <c r="J494" s="158"/>
    </row>
    <row r="495" spans="1:10" x14ac:dyDescent="0.2">
      <c r="A495" s="156"/>
      <c r="B495" s="156"/>
      <c r="C495" s="156"/>
      <c r="D495" s="158"/>
      <c r="E495" s="158"/>
      <c r="F495" s="158"/>
      <c r="G495" s="156"/>
      <c r="H495" s="156"/>
      <c r="I495" s="158"/>
      <c r="J495" s="158"/>
    </row>
    <row r="496" spans="1:10" ht="12.75" customHeight="1" x14ac:dyDescent="0.2">
      <c r="A496" s="156"/>
      <c r="B496" s="156"/>
      <c r="C496" s="156"/>
      <c r="D496" s="158"/>
      <c r="E496" s="158"/>
      <c r="F496" s="157"/>
      <c r="G496" s="156"/>
      <c r="H496" s="156"/>
      <c r="I496" s="158"/>
      <c r="J496" s="158"/>
    </row>
    <row r="497" spans="1:10" ht="12.75" customHeight="1" x14ac:dyDescent="0.2">
      <c r="A497" s="156"/>
      <c r="B497" s="156"/>
      <c r="C497" s="156"/>
      <c r="D497" s="158"/>
      <c r="E497" s="158"/>
      <c r="F497" s="157"/>
      <c r="G497" s="156"/>
      <c r="H497" s="156"/>
      <c r="I497" s="158"/>
      <c r="J497" s="158"/>
    </row>
    <row r="498" spans="1:10" x14ac:dyDescent="0.2">
      <c r="A498" s="156"/>
      <c r="B498" s="156"/>
      <c r="C498" s="156"/>
      <c r="D498" s="158"/>
      <c r="E498" s="158"/>
      <c r="F498" s="158"/>
      <c r="G498" s="156"/>
      <c r="H498" s="156"/>
      <c r="I498" s="158"/>
      <c r="J498" s="158"/>
    </row>
    <row r="499" spans="1:10" x14ac:dyDescent="0.2">
      <c r="A499" s="156"/>
      <c r="B499" s="156"/>
      <c r="C499" s="156"/>
      <c r="D499" s="158"/>
      <c r="E499" s="158"/>
      <c r="F499" s="157"/>
      <c r="G499" s="156"/>
      <c r="H499" s="156"/>
      <c r="I499" s="158"/>
      <c r="J499" s="158"/>
    </row>
    <row r="500" spans="1:10" x14ac:dyDescent="0.2">
      <c r="A500" s="156"/>
      <c r="B500" s="156"/>
      <c r="C500" s="156"/>
      <c r="D500" s="158"/>
      <c r="E500" s="158"/>
      <c r="F500" s="157"/>
      <c r="G500" s="156"/>
      <c r="H500" s="156"/>
      <c r="I500" s="158"/>
      <c r="J500" s="158"/>
    </row>
    <row r="501" spans="1:10" x14ac:dyDescent="0.2">
      <c r="A501" s="156"/>
      <c r="B501" s="156"/>
      <c r="C501" s="156"/>
      <c r="D501" s="158"/>
      <c r="E501" s="158"/>
      <c r="F501" s="158"/>
      <c r="G501" s="156"/>
      <c r="H501" s="156"/>
      <c r="I501" s="158"/>
      <c r="J501" s="158"/>
    </row>
    <row r="502" spans="1:10" x14ac:dyDescent="0.2">
      <c r="A502" s="156"/>
      <c r="B502" s="156"/>
      <c r="C502" s="156"/>
      <c r="D502" s="158"/>
      <c r="E502" s="158"/>
      <c r="F502" s="157"/>
      <c r="G502" s="156"/>
      <c r="H502" s="156"/>
      <c r="I502" s="158"/>
      <c r="J502" s="158"/>
    </row>
    <row r="503" spans="1:10" x14ac:dyDescent="0.2">
      <c r="A503" s="156"/>
      <c r="B503" s="156"/>
      <c r="C503" s="156"/>
      <c r="D503" s="158"/>
      <c r="E503" s="158"/>
      <c r="F503" s="157"/>
      <c r="G503" s="156"/>
      <c r="H503" s="156"/>
      <c r="I503" s="158"/>
      <c r="J503" s="158"/>
    </row>
    <row r="504" spans="1:10" x14ac:dyDescent="0.2">
      <c r="A504" s="156"/>
      <c r="B504" s="156"/>
      <c r="C504" s="156"/>
      <c r="D504" s="158"/>
      <c r="E504" s="158"/>
      <c r="F504" s="158"/>
      <c r="G504" s="156"/>
      <c r="H504" s="156"/>
      <c r="I504" s="158"/>
      <c r="J504" s="158"/>
    </row>
    <row r="505" spans="1:10" x14ac:dyDescent="0.2">
      <c r="A505" s="156"/>
      <c r="B505" s="156"/>
      <c r="C505" s="156"/>
      <c r="D505" s="158"/>
      <c r="E505" s="158"/>
      <c r="F505" s="157"/>
      <c r="G505" s="156"/>
      <c r="H505" s="156"/>
      <c r="I505" s="158"/>
      <c r="J505" s="158"/>
    </row>
    <row r="506" spans="1:10" x14ac:dyDescent="0.2">
      <c r="A506" s="156"/>
      <c r="B506" s="156"/>
      <c r="C506" s="156"/>
      <c r="D506" s="158"/>
      <c r="E506" s="158"/>
      <c r="F506" s="157"/>
      <c r="G506" s="156"/>
      <c r="H506" s="156"/>
      <c r="I506" s="158"/>
      <c r="J506" s="158"/>
    </row>
    <row r="507" spans="1:10" x14ac:dyDescent="0.2">
      <c r="A507" s="156"/>
      <c r="B507" s="156"/>
      <c r="C507" s="156"/>
      <c r="D507" s="158"/>
      <c r="E507" s="158"/>
      <c r="F507" s="158"/>
      <c r="G507" s="156"/>
      <c r="H507" s="156"/>
      <c r="I507" s="158"/>
      <c r="J507" s="158"/>
    </row>
    <row r="508" spans="1:10" x14ac:dyDescent="0.2">
      <c r="A508" s="156"/>
      <c r="B508" s="156"/>
      <c r="C508" s="156"/>
      <c r="D508" s="158"/>
      <c r="E508" s="158"/>
      <c r="F508" s="157"/>
      <c r="G508" s="156"/>
      <c r="H508" s="156"/>
      <c r="I508" s="158"/>
      <c r="J508" s="158"/>
    </row>
    <row r="509" spans="1:10" x14ac:dyDescent="0.2">
      <c r="A509" s="156"/>
      <c r="B509" s="156"/>
      <c r="C509" s="156"/>
      <c r="D509" s="158"/>
      <c r="E509" s="158"/>
      <c r="F509" s="157"/>
      <c r="G509" s="156"/>
      <c r="H509" s="156"/>
      <c r="I509" s="158"/>
      <c r="J509" s="158"/>
    </row>
    <row r="510" spans="1:10" x14ac:dyDescent="0.2">
      <c r="A510" s="156"/>
      <c r="B510" s="156"/>
      <c r="C510" s="156"/>
      <c r="D510" s="158"/>
      <c r="E510" s="158"/>
      <c r="F510" s="158"/>
      <c r="G510" s="156"/>
      <c r="H510" s="156"/>
      <c r="I510" s="158"/>
      <c r="J510" s="158"/>
    </row>
    <row r="511" spans="1:10" x14ac:dyDescent="0.2">
      <c r="A511" s="156"/>
      <c r="B511" s="156"/>
      <c r="C511" s="156"/>
      <c r="D511" s="158"/>
      <c r="E511" s="158"/>
      <c r="F511" s="157"/>
      <c r="G511" s="156"/>
      <c r="H511" s="156"/>
      <c r="I511" s="158"/>
      <c r="J511" s="158"/>
    </row>
    <row r="512" spans="1:10" x14ac:dyDescent="0.2">
      <c r="A512" s="156"/>
      <c r="B512" s="156"/>
      <c r="C512" s="156"/>
      <c r="D512" s="158"/>
      <c r="E512" s="158"/>
      <c r="F512" s="157"/>
      <c r="G512" s="156"/>
      <c r="H512" s="156"/>
      <c r="I512" s="158"/>
      <c r="J512" s="158"/>
    </row>
    <row r="513" spans="1:10" x14ac:dyDescent="0.2">
      <c r="A513" s="156"/>
      <c r="B513" s="156"/>
      <c r="C513" s="156"/>
      <c r="D513" s="158"/>
      <c r="E513" s="158"/>
      <c r="F513" s="158"/>
      <c r="G513" s="156"/>
      <c r="H513" s="156"/>
      <c r="I513" s="158"/>
      <c r="J513" s="158"/>
    </row>
    <row r="514" spans="1:10" x14ac:dyDescent="0.2">
      <c r="A514" s="156"/>
      <c r="B514" s="156"/>
      <c r="C514" s="156"/>
      <c r="D514" s="158"/>
      <c r="E514" s="158"/>
      <c r="F514" s="157"/>
      <c r="G514" s="156"/>
      <c r="H514" s="156"/>
      <c r="I514" s="158"/>
      <c r="J514" s="158"/>
    </row>
    <row r="515" spans="1:10" x14ac:dyDescent="0.2">
      <c r="A515" s="156"/>
      <c r="B515" s="156"/>
      <c r="C515" s="156"/>
      <c r="D515" s="158"/>
      <c r="E515" s="158"/>
      <c r="F515" s="158"/>
      <c r="G515" s="156"/>
      <c r="H515" s="156"/>
      <c r="I515" s="158"/>
      <c r="J515" s="158"/>
    </row>
    <row r="516" spans="1:10" x14ac:dyDescent="0.2">
      <c r="A516" s="156"/>
      <c r="B516" s="156"/>
      <c r="C516" s="156"/>
      <c r="D516" s="158"/>
      <c r="E516" s="158"/>
      <c r="F516" s="157"/>
      <c r="G516" s="156"/>
      <c r="H516" s="156"/>
      <c r="I516" s="158"/>
      <c r="J516" s="158"/>
    </row>
    <row r="517" spans="1:10" x14ac:dyDescent="0.2">
      <c r="A517" s="156"/>
      <c r="B517" s="156"/>
      <c r="C517" s="156"/>
      <c r="D517" s="158"/>
      <c r="E517" s="158"/>
      <c r="F517" s="158"/>
      <c r="G517" s="156"/>
      <c r="H517" s="156"/>
      <c r="I517" s="158"/>
      <c r="J517" s="158"/>
    </row>
    <row r="518" spans="1:10" x14ac:dyDescent="0.2">
      <c r="A518" s="156"/>
      <c r="B518" s="156"/>
      <c r="C518" s="156"/>
      <c r="D518" s="158"/>
      <c r="E518" s="158"/>
      <c r="F518" s="157"/>
      <c r="G518" s="156"/>
      <c r="H518" s="156"/>
      <c r="I518" s="158"/>
      <c r="J518" s="158"/>
    </row>
    <row r="519" spans="1:10" x14ac:dyDescent="0.2">
      <c r="A519" s="156"/>
      <c r="B519" s="156"/>
      <c r="C519" s="156"/>
      <c r="D519" s="158"/>
      <c r="E519" s="158"/>
      <c r="F519" s="158"/>
      <c r="G519" s="156"/>
      <c r="H519" s="156"/>
      <c r="I519" s="158"/>
      <c r="J519" s="158"/>
    </row>
    <row r="520" spans="1:10" x14ac:dyDescent="0.2">
      <c r="A520" s="156"/>
      <c r="B520" s="156"/>
      <c r="C520" s="156"/>
      <c r="D520" s="158"/>
      <c r="E520" s="158"/>
      <c r="F520" s="157"/>
      <c r="G520" s="156"/>
      <c r="H520" s="156"/>
      <c r="I520" s="158"/>
      <c r="J520" s="158"/>
    </row>
    <row r="521" spans="1:10" x14ac:dyDescent="0.2">
      <c r="A521" s="156"/>
      <c r="B521" s="156"/>
      <c r="C521" s="156"/>
      <c r="D521" s="158"/>
      <c r="E521" s="158"/>
      <c r="F521" s="158"/>
      <c r="G521" s="156"/>
      <c r="H521" s="156"/>
      <c r="I521" s="158"/>
      <c r="J521" s="158"/>
    </row>
    <row r="522" spans="1:10" x14ac:dyDescent="0.2">
      <c r="A522" s="156"/>
      <c r="B522" s="156"/>
      <c r="C522" s="156"/>
      <c r="D522" s="158"/>
      <c r="E522" s="158"/>
      <c r="F522" s="157"/>
      <c r="G522" s="156"/>
      <c r="H522" s="156"/>
      <c r="I522" s="158"/>
      <c r="J522" s="158"/>
    </row>
    <row r="523" spans="1:10" x14ac:dyDescent="0.2">
      <c r="A523" s="156"/>
      <c r="B523" s="156"/>
      <c r="C523" s="156"/>
      <c r="D523" s="158"/>
      <c r="E523" s="158"/>
      <c r="F523" s="158"/>
      <c r="G523" s="156"/>
      <c r="H523" s="156"/>
      <c r="I523" s="158"/>
      <c r="J523" s="158"/>
    </row>
    <row r="524" spans="1:10" x14ac:dyDescent="0.2">
      <c r="A524" s="156"/>
      <c r="B524" s="156"/>
      <c r="C524" s="156"/>
      <c r="D524" s="158"/>
      <c r="E524" s="158"/>
      <c r="F524" s="157"/>
      <c r="G524" s="156"/>
      <c r="H524" s="156"/>
      <c r="I524" s="158"/>
      <c r="J524" s="158"/>
    </row>
    <row r="525" spans="1:10" x14ac:dyDescent="0.2">
      <c r="A525" s="156"/>
      <c r="B525" s="156"/>
      <c r="C525" s="156"/>
      <c r="D525" s="158"/>
      <c r="E525" s="158"/>
      <c r="F525" s="158"/>
      <c r="G525" s="156"/>
      <c r="H525" s="156"/>
      <c r="I525" s="158"/>
      <c r="J525" s="158"/>
    </row>
    <row r="526" spans="1:10" x14ac:dyDescent="0.2">
      <c r="A526" s="156"/>
      <c r="B526" s="156"/>
      <c r="C526" s="156"/>
      <c r="D526" s="158"/>
      <c r="E526" s="158"/>
      <c r="F526" s="157"/>
      <c r="G526" s="156"/>
      <c r="H526" s="156"/>
      <c r="I526" s="158"/>
      <c r="J526" s="158"/>
    </row>
    <row r="527" spans="1:10" x14ac:dyDescent="0.2">
      <c r="A527" s="156"/>
      <c r="B527" s="156"/>
      <c r="C527" s="156"/>
      <c r="D527" s="158"/>
      <c r="E527" s="158"/>
      <c r="F527" s="158"/>
      <c r="G527" s="156"/>
      <c r="H527" s="156"/>
      <c r="I527" s="158"/>
      <c r="J527" s="158"/>
    </row>
    <row r="528" spans="1:10" x14ac:dyDescent="0.2">
      <c r="A528" s="156"/>
      <c r="B528" s="156"/>
      <c r="C528" s="156"/>
      <c r="D528" s="158"/>
      <c r="E528" s="158"/>
      <c r="F528" s="157"/>
      <c r="G528" s="156"/>
      <c r="H528" s="156"/>
      <c r="I528" s="158"/>
      <c r="J528" s="158"/>
    </row>
    <row r="529" spans="1:10" x14ac:dyDescent="0.2">
      <c r="A529" s="156"/>
      <c r="B529" s="156"/>
      <c r="C529" s="156"/>
      <c r="D529" s="158"/>
      <c r="E529" s="158"/>
      <c r="F529" s="158"/>
      <c r="G529" s="156"/>
      <c r="H529" s="156"/>
      <c r="I529" s="158"/>
      <c r="J529" s="158"/>
    </row>
    <row r="530" spans="1:10" x14ac:dyDescent="0.2">
      <c r="A530" s="156"/>
      <c r="B530" s="156"/>
      <c r="C530" s="156"/>
      <c r="D530" s="158"/>
      <c r="E530" s="158"/>
      <c r="F530" s="157"/>
      <c r="G530" s="156"/>
      <c r="H530" s="156"/>
      <c r="I530" s="158"/>
      <c r="J530" s="158"/>
    </row>
    <row r="531" spans="1:10" x14ac:dyDescent="0.2">
      <c r="A531" s="156"/>
      <c r="B531" s="156"/>
      <c r="C531" s="156"/>
      <c r="D531" s="158"/>
      <c r="E531" s="158"/>
      <c r="F531" s="158"/>
      <c r="G531" s="156"/>
      <c r="H531" s="156"/>
      <c r="I531" s="158"/>
      <c r="J531" s="158"/>
    </row>
    <row r="532" spans="1:10" x14ac:dyDescent="0.2">
      <c r="A532" s="156"/>
      <c r="B532" s="156"/>
      <c r="C532" s="156"/>
      <c r="D532" s="158"/>
      <c r="E532" s="158"/>
      <c r="F532" s="157"/>
      <c r="G532" s="156"/>
      <c r="H532" s="156"/>
      <c r="I532" s="158"/>
      <c r="J532" s="158"/>
    </row>
    <row r="533" spans="1:10" x14ac:dyDescent="0.2">
      <c r="A533" s="156"/>
      <c r="B533" s="156"/>
      <c r="C533" s="156"/>
      <c r="D533" s="158"/>
      <c r="E533" s="158"/>
      <c r="F533" s="158"/>
      <c r="G533" s="156"/>
      <c r="H533" s="156"/>
      <c r="I533" s="158"/>
      <c r="J533" s="158"/>
    </row>
    <row r="534" spans="1:10" x14ac:dyDescent="0.2">
      <c r="A534" s="156"/>
      <c r="B534" s="156"/>
      <c r="C534" s="156"/>
      <c r="D534" s="158"/>
      <c r="E534" s="158"/>
      <c r="F534" s="157"/>
      <c r="G534" s="156"/>
      <c r="H534" s="156"/>
      <c r="I534" s="158"/>
      <c r="J534" s="158"/>
    </row>
    <row r="535" spans="1:10" x14ac:dyDescent="0.2">
      <c r="A535" s="156"/>
      <c r="B535" s="156"/>
      <c r="C535" s="156"/>
      <c r="D535" s="158"/>
      <c r="E535" s="158"/>
      <c r="F535" s="158"/>
      <c r="G535" s="156"/>
      <c r="H535" s="156"/>
      <c r="I535" s="158"/>
      <c r="J535" s="158"/>
    </row>
    <row r="536" spans="1:10" x14ac:dyDescent="0.2">
      <c r="A536" s="156"/>
      <c r="B536" s="156"/>
      <c r="C536" s="156"/>
      <c r="D536" s="158"/>
      <c r="E536" s="158"/>
      <c r="F536" s="157"/>
      <c r="G536" s="156"/>
      <c r="H536" s="156"/>
      <c r="I536" s="158"/>
      <c r="J536" s="158"/>
    </row>
    <row r="537" spans="1:10" x14ac:dyDescent="0.2">
      <c r="A537" s="156"/>
      <c r="B537" s="156"/>
      <c r="C537" s="156"/>
      <c r="D537" s="158"/>
      <c r="E537" s="158"/>
      <c r="F537" s="158"/>
      <c r="G537" s="156"/>
      <c r="H537" s="156"/>
      <c r="I537" s="158"/>
      <c r="J537" s="158"/>
    </row>
    <row r="538" spans="1:10" x14ac:dyDescent="0.2">
      <c r="A538" s="156"/>
      <c r="B538" s="156"/>
      <c r="C538" s="156"/>
      <c r="D538" s="158"/>
      <c r="E538" s="158"/>
      <c r="F538" s="157"/>
      <c r="G538" s="156"/>
      <c r="H538" s="156"/>
      <c r="I538" s="158"/>
      <c r="J538" s="158"/>
    </row>
    <row r="539" spans="1:10" x14ac:dyDescent="0.2">
      <c r="A539" s="156"/>
      <c r="B539" s="156"/>
      <c r="C539" s="156"/>
      <c r="D539" s="158"/>
      <c r="E539" s="158"/>
      <c r="F539" s="158"/>
      <c r="G539" s="156"/>
      <c r="H539" s="156"/>
      <c r="I539" s="158"/>
      <c r="J539" s="158"/>
    </row>
    <row r="540" spans="1:10" x14ac:dyDescent="0.2">
      <c r="A540" s="156"/>
      <c r="B540" s="156"/>
      <c r="C540" s="156"/>
      <c r="D540" s="158"/>
      <c r="E540" s="158"/>
      <c r="F540" s="157"/>
      <c r="G540" s="156"/>
      <c r="H540" s="156"/>
      <c r="I540" s="158"/>
      <c r="J540" s="158"/>
    </row>
    <row r="541" spans="1:10" x14ac:dyDescent="0.2">
      <c r="A541" s="156"/>
      <c r="B541" s="156"/>
      <c r="C541" s="156"/>
      <c r="D541" s="158"/>
      <c r="E541" s="158"/>
      <c r="F541" s="158"/>
      <c r="G541" s="156"/>
      <c r="H541" s="156"/>
      <c r="I541" s="158"/>
      <c r="J541" s="158"/>
    </row>
    <row r="542" spans="1:10" x14ac:dyDescent="0.2">
      <c r="A542" s="156"/>
      <c r="B542" s="156"/>
      <c r="C542" s="156"/>
      <c r="D542" s="158"/>
      <c r="E542" s="158"/>
      <c r="F542" s="157"/>
      <c r="G542" s="156"/>
      <c r="H542" s="156"/>
      <c r="I542" s="158"/>
      <c r="J542" s="158"/>
    </row>
    <row r="543" spans="1:10" ht="12.75" customHeight="1" x14ac:dyDescent="0.2">
      <c r="A543" s="156"/>
      <c r="B543" s="156"/>
      <c r="C543" s="156"/>
      <c r="D543" s="158"/>
      <c r="E543" s="158"/>
      <c r="F543" s="158"/>
      <c r="G543" s="156"/>
      <c r="H543" s="156"/>
      <c r="I543" s="158"/>
      <c r="J543" s="158"/>
    </row>
    <row r="566" spans="1:10" x14ac:dyDescent="0.2">
      <c r="A566" s="161"/>
      <c r="B566" s="161"/>
      <c r="C566" s="162"/>
      <c r="D566" s="135"/>
      <c r="E566" s="135"/>
      <c r="F566" s="163"/>
      <c r="G566" s="163"/>
      <c r="H566" s="163"/>
      <c r="I566" s="163"/>
      <c r="J566" s="163"/>
    </row>
    <row r="567" spans="1:10" x14ac:dyDescent="0.2">
      <c r="A567" s="161"/>
      <c r="B567" s="161"/>
      <c r="C567" s="162"/>
      <c r="D567" s="135"/>
      <c r="E567" s="135"/>
      <c r="F567" s="163"/>
      <c r="G567" s="163"/>
      <c r="H567" s="163"/>
      <c r="I567" s="163"/>
      <c r="J567" s="163"/>
    </row>
    <row r="568" spans="1:10" x14ac:dyDescent="0.2">
      <c r="A568" s="161"/>
      <c r="B568" s="161"/>
      <c r="C568" s="162"/>
      <c r="D568" s="135"/>
      <c r="E568" s="135"/>
      <c r="F568" s="163"/>
      <c r="G568" s="163"/>
      <c r="H568" s="163"/>
      <c r="I568" s="163"/>
      <c r="J568" s="163"/>
    </row>
    <row r="569" spans="1:10" x14ac:dyDescent="0.2">
      <c r="A569" s="161"/>
      <c r="B569" s="161"/>
      <c r="C569" s="162"/>
      <c r="D569" s="135"/>
      <c r="E569" s="135"/>
      <c r="F569" s="163"/>
      <c r="G569" s="163"/>
      <c r="H569" s="163"/>
      <c r="I569" s="163"/>
      <c r="J569" s="163"/>
    </row>
    <row r="570" spans="1:10" x14ac:dyDescent="0.2">
      <c r="A570" s="161"/>
      <c r="B570" s="161"/>
      <c r="C570" s="162"/>
      <c r="D570" s="135"/>
      <c r="E570" s="135"/>
      <c r="F570" s="163"/>
      <c r="G570" s="163"/>
      <c r="H570" s="163"/>
      <c r="I570" s="163"/>
      <c r="J570" s="163"/>
    </row>
    <row r="571" spans="1:10" x14ac:dyDescent="0.2">
      <c r="A571" s="161"/>
      <c r="B571" s="161"/>
      <c r="C571" s="162"/>
      <c r="D571" s="135"/>
      <c r="E571" s="135"/>
      <c r="F571" s="163"/>
      <c r="G571" s="163"/>
      <c r="H571" s="163"/>
      <c r="I571" s="163"/>
      <c r="J571" s="163"/>
    </row>
    <row r="572" spans="1:10" x14ac:dyDescent="0.2">
      <c r="A572" s="161"/>
      <c r="B572" s="161"/>
      <c r="C572" s="162"/>
      <c r="D572" s="135"/>
      <c r="E572" s="135"/>
      <c r="F572" s="163"/>
      <c r="G572" s="163"/>
      <c r="H572" s="163"/>
      <c r="I572" s="163"/>
      <c r="J572" s="163"/>
    </row>
    <row r="573" spans="1:10" x14ac:dyDescent="0.2">
      <c r="A573" s="161"/>
      <c r="B573" s="161"/>
      <c r="C573" s="162"/>
      <c r="D573" s="135"/>
      <c r="E573" s="135"/>
      <c r="F573" s="163"/>
      <c r="G573" s="163"/>
      <c r="H573" s="163"/>
      <c r="I573" s="163"/>
      <c r="J573" s="163"/>
    </row>
    <row r="574" spans="1:10" x14ac:dyDescent="0.2">
      <c r="A574" s="161"/>
      <c r="B574" s="161"/>
      <c r="C574" s="162"/>
      <c r="D574" s="135"/>
      <c r="E574" s="135"/>
      <c r="F574" s="163"/>
      <c r="G574" s="163"/>
      <c r="H574" s="163"/>
      <c r="I574" s="163"/>
      <c r="J574" s="163"/>
    </row>
    <row r="575" spans="1:10" x14ac:dyDescent="0.2">
      <c r="A575" s="161"/>
      <c r="B575" s="161"/>
      <c r="C575" s="162"/>
      <c r="D575" s="135"/>
      <c r="E575" s="135"/>
      <c r="F575" s="163"/>
      <c r="G575" s="163"/>
      <c r="H575" s="163"/>
      <c r="I575" s="163"/>
      <c r="J575" s="163"/>
    </row>
    <row r="576" spans="1:10" x14ac:dyDescent="0.2">
      <c r="A576" s="161"/>
      <c r="B576" s="161"/>
      <c r="C576" s="162"/>
      <c r="D576" s="135"/>
      <c r="E576" s="135"/>
      <c r="F576" s="163"/>
      <c r="G576" s="163"/>
      <c r="H576" s="163"/>
      <c r="I576" s="163"/>
      <c r="J576" s="163"/>
    </row>
    <row r="577" spans="1:10" x14ac:dyDescent="0.2">
      <c r="A577" s="162"/>
      <c r="B577" s="162"/>
      <c r="C577" s="164"/>
      <c r="D577" s="165"/>
      <c r="E577" s="165"/>
      <c r="F577" s="166"/>
      <c r="G577" s="167"/>
      <c r="H577" s="166"/>
      <c r="I577" s="166"/>
      <c r="J577" s="166"/>
    </row>
    <row r="578" spans="1:10" x14ac:dyDescent="0.2">
      <c r="A578" s="162"/>
      <c r="B578" s="162"/>
      <c r="C578" s="164"/>
      <c r="D578" s="165"/>
      <c r="E578" s="165"/>
      <c r="F578" s="166"/>
      <c r="G578" s="167"/>
      <c r="H578" s="166"/>
      <c r="I578" s="166"/>
      <c r="J578" s="166"/>
    </row>
    <row r="579" spans="1:10" x14ac:dyDescent="0.2">
      <c r="A579" s="162"/>
      <c r="B579" s="162"/>
      <c r="C579" s="164"/>
      <c r="D579" s="165"/>
      <c r="E579" s="165"/>
      <c r="F579" s="166"/>
      <c r="G579" s="167"/>
      <c r="H579" s="166"/>
      <c r="I579" s="166"/>
      <c r="J579" s="166"/>
    </row>
    <row r="580" spans="1:10" x14ac:dyDescent="0.2">
      <c r="A580" s="162"/>
      <c r="B580" s="162"/>
      <c r="C580" s="164"/>
      <c r="D580" s="165"/>
      <c r="E580" s="165"/>
      <c r="F580" s="166"/>
      <c r="G580" s="167"/>
      <c r="H580" s="166"/>
      <c r="I580" s="166"/>
      <c r="J580" s="166"/>
    </row>
    <row r="581" spans="1:10" x14ac:dyDescent="0.2">
      <c r="A581" s="162"/>
      <c r="B581" s="162"/>
      <c r="C581" s="164"/>
      <c r="D581" s="165"/>
      <c r="E581" s="165"/>
      <c r="F581" s="166"/>
      <c r="G581" s="167"/>
      <c r="H581" s="166"/>
      <c r="I581" s="166"/>
      <c r="J581" s="166"/>
    </row>
    <row r="582" spans="1:10" x14ac:dyDescent="0.2">
      <c r="A582" s="162"/>
      <c r="B582" s="162"/>
      <c r="C582" s="164"/>
      <c r="D582" s="165"/>
      <c r="E582" s="165"/>
      <c r="F582" s="166"/>
      <c r="G582" s="167"/>
      <c r="H582" s="166"/>
      <c r="I582" s="166"/>
      <c r="J582" s="166"/>
    </row>
    <row r="583" spans="1:10" x14ac:dyDescent="0.2">
      <c r="A583" s="162"/>
      <c r="B583" s="162"/>
      <c r="C583" s="164"/>
      <c r="D583" s="165"/>
      <c r="E583" s="165"/>
      <c r="F583" s="166"/>
      <c r="G583" s="167"/>
      <c r="H583" s="166"/>
      <c r="I583" s="166"/>
      <c r="J583" s="166"/>
    </row>
    <row r="584" spans="1:10" x14ac:dyDescent="0.2">
      <c r="A584" s="162"/>
      <c r="B584" s="162"/>
      <c r="C584" s="164"/>
      <c r="D584" s="165"/>
      <c r="E584" s="165"/>
      <c r="F584" s="166"/>
      <c r="G584" s="167"/>
      <c r="H584" s="166"/>
      <c r="I584" s="166"/>
      <c r="J584" s="166"/>
    </row>
    <row r="585" spans="1:10" x14ac:dyDescent="0.2">
      <c r="A585" s="162"/>
      <c r="B585" s="162"/>
      <c r="C585" s="164"/>
      <c r="D585" s="165"/>
      <c r="E585" s="165"/>
      <c r="F585" s="166"/>
      <c r="G585" s="167"/>
      <c r="H585" s="166"/>
      <c r="I585" s="166"/>
      <c r="J585" s="166"/>
    </row>
    <row r="586" spans="1:10" x14ac:dyDescent="0.2">
      <c r="A586" s="162"/>
      <c r="B586" s="162"/>
      <c r="C586" s="164"/>
      <c r="D586" s="165"/>
      <c r="E586" s="165"/>
      <c r="F586" s="166"/>
      <c r="G586" s="167"/>
      <c r="H586" s="166"/>
      <c r="I586" s="166"/>
      <c r="J586" s="166"/>
    </row>
    <row r="587" spans="1:10" x14ac:dyDescent="0.2">
      <c r="A587" s="162"/>
      <c r="B587" s="162"/>
      <c r="C587" s="164"/>
      <c r="D587" s="165"/>
      <c r="E587" s="165"/>
      <c r="F587" s="166"/>
      <c r="G587" s="167"/>
      <c r="H587" s="166"/>
      <c r="I587" s="166"/>
      <c r="J587" s="166"/>
    </row>
    <row r="588" spans="1:10" x14ac:dyDescent="0.2">
      <c r="A588" s="162"/>
      <c r="B588" s="162"/>
      <c r="C588" s="164"/>
      <c r="D588" s="165"/>
      <c r="E588" s="165"/>
      <c r="F588" s="166"/>
      <c r="G588" s="167"/>
      <c r="H588" s="166"/>
      <c r="I588" s="166"/>
      <c r="J588" s="166"/>
    </row>
    <row r="589" spans="1:10" x14ac:dyDescent="0.2">
      <c r="B589" s="168"/>
    </row>
    <row r="590" spans="1:10" x14ac:dyDescent="0.2">
      <c r="B590" s="168"/>
    </row>
    <row r="591" spans="1:10" x14ac:dyDescent="0.2">
      <c r="B591" s="168"/>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12" priority="2" stopIfTrue="1" operator="equal">
      <formula>"Y"</formula>
    </cfRule>
  </conditionalFormatting>
  <conditionalFormatting sqref="E63 E2:E4">
    <cfRule type="cellIs" dxfId="11"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8" bestFit="1" customWidth="1"/>
    <col min="3" max="3" width="37" style="10" bestFit="1" customWidth="1"/>
    <col min="4" max="4" width="5.7109375" style="9" hidden="1" customWidth="1"/>
    <col min="5" max="5" width="29.85546875" bestFit="1" customWidth="1"/>
    <col min="6" max="6" width="26.5703125" bestFit="1" customWidth="1"/>
  </cols>
  <sheetData>
    <row r="1" spans="1:6" ht="26.25" thickBot="1" x14ac:dyDescent="0.25">
      <c r="A1" s="25" t="s">
        <v>15</v>
      </c>
      <c r="B1" s="26" t="s">
        <v>16</v>
      </c>
      <c r="C1" s="27" t="s">
        <v>17</v>
      </c>
      <c r="D1" s="28" t="s">
        <v>135</v>
      </c>
      <c r="E1" s="29" t="s">
        <v>18</v>
      </c>
      <c r="F1" s="30" t="s">
        <v>19</v>
      </c>
    </row>
    <row r="2" spans="1:6" x14ac:dyDescent="0.2">
      <c r="A2" s="122"/>
      <c r="B2" s="21"/>
      <c r="C2" s="22"/>
      <c r="D2" s="123"/>
      <c r="E2" s="23"/>
      <c r="F2" s="24"/>
    </row>
    <row r="3" spans="1:6" x14ac:dyDescent="0.2">
      <c r="A3" s="120"/>
      <c r="B3" s="6"/>
      <c r="C3" s="12"/>
      <c r="D3" s="14"/>
      <c r="E3" s="11"/>
      <c r="F3" s="15"/>
    </row>
    <row r="4" spans="1:6" x14ac:dyDescent="0.2">
      <c r="A4" s="120"/>
      <c r="B4" s="6"/>
      <c r="C4" s="12"/>
      <c r="D4" s="14"/>
      <c r="E4" s="11"/>
      <c r="F4" s="15"/>
    </row>
    <row r="5" spans="1:6" x14ac:dyDescent="0.2">
      <c r="A5" s="120"/>
      <c r="B5" s="6"/>
      <c r="C5" s="12"/>
      <c r="D5" s="14"/>
      <c r="E5" s="11"/>
      <c r="F5" s="15"/>
    </row>
    <row r="6" spans="1:6" x14ac:dyDescent="0.2">
      <c r="A6" s="120"/>
      <c r="B6" s="6"/>
      <c r="C6" s="12"/>
      <c r="D6" s="14"/>
      <c r="E6" s="11"/>
      <c r="F6" s="15"/>
    </row>
    <row r="7" spans="1:6" x14ac:dyDescent="0.2">
      <c r="A7" s="120"/>
      <c r="B7" s="6"/>
      <c r="C7" s="12"/>
      <c r="D7" s="14"/>
      <c r="E7" s="11"/>
      <c r="F7" s="15"/>
    </row>
    <row r="8" spans="1:6" x14ac:dyDescent="0.2">
      <c r="A8" s="120"/>
      <c r="B8" s="6"/>
      <c r="C8" s="12"/>
      <c r="D8" s="14"/>
      <c r="E8" s="11"/>
      <c r="F8" s="15"/>
    </row>
    <row r="9" spans="1:6" x14ac:dyDescent="0.2">
      <c r="A9" s="120"/>
      <c r="B9" s="6"/>
      <c r="C9" s="12"/>
      <c r="D9" s="14"/>
      <c r="E9" s="11"/>
      <c r="F9" s="15"/>
    </row>
    <row r="10" spans="1:6" x14ac:dyDescent="0.2">
      <c r="A10" s="120"/>
      <c r="B10" s="6"/>
      <c r="C10" s="12"/>
      <c r="D10" s="14"/>
      <c r="E10" s="11"/>
      <c r="F10" s="15"/>
    </row>
    <row r="11" spans="1:6" x14ac:dyDescent="0.2">
      <c r="A11" s="120"/>
      <c r="B11" s="6"/>
      <c r="C11" s="12"/>
      <c r="D11" s="14"/>
      <c r="E11" s="11"/>
      <c r="F11" s="15"/>
    </row>
    <row r="12" spans="1:6" x14ac:dyDescent="0.2">
      <c r="A12" s="120"/>
      <c r="B12" s="6"/>
      <c r="C12" s="12"/>
      <c r="D12" s="14"/>
      <c r="E12" s="11"/>
      <c r="F12" s="15"/>
    </row>
    <row r="13" spans="1:6" x14ac:dyDescent="0.2">
      <c r="A13" s="120"/>
      <c r="B13" s="6"/>
      <c r="C13" s="12"/>
      <c r="D13" s="14"/>
      <c r="E13" s="11"/>
      <c r="F13" s="15"/>
    </row>
    <row r="14" spans="1:6" x14ac:dyDescent="0.2">
      <c r="A14" s="120"/>
      <c r="B14" s="6"/>
      <c r="C14" s="12"/>
      <c r="D14" s="13"/>
      <c r="E14" s="11"/>
      <c r="F14" s="15"/>
    </row>
    <row r="15" spans="1:6" x14ac:dyDescent="0.2">
      <c r="A15" s="120"/>
      <c r="B15" s="6"/>
      <c r="C15" s="12"/>
      <c r="D15" s="14"/>
      <c r="E15" s="11"/>
      <c r="F15" s="15"/>
    </row>
    <row r="16" spans="1:6" x14ac:dyDescent="0.2">
      <c r="A16" s="120"/>
      <c r="B16" s="6"/>
      <c r="C16" s="12"/>
      <c r="D16" s="14"/>
      <c r="E16" s="11"/>
      <c r="F16" s="15"/>
    </row>
    <row r="17" spans="1:6" x14ac:dyDescent="0.2">
      <c r="A17" s="120"/>
      <c r="B17" s="6"/>
      <c r="C17" s="12"/>
      <c r="D17" s="14"/>
      <c r="E17" s="11"/>
      <c r="F17" s="15"/>
    </row>
    <row r="18" spans="1:6" x14ac:dyDescent="0.2">
      <c r="A18" s="120"/>
      <c r="B18" s="6"/>
      <c r="C18" s="12"/>
      <c r="D18" s="14"/>
      <c r="E18" s="11"/>
      <c r="F18" s="15"/>
    </row>
    <row r="19" spans="1:6" x14ac:dyDescent="0.2">
      <c r="A19" s="120"/>
      <c r="B19" s="6"/>
      <c r="C19" s="12"/>
      <c r="D19" s="14"/>
      <c r="E19" s="11"/>
      <c r="F19" s="15"/>
    </row>
    <row r="20" spans="1:6" x14ac:dyDescent="0.2">
      <c r="A20" s="120"/>
      <c r="B20" s="6"/>
      <c r="C20" s="12"/>
      <c r="D20" s="14"/>
      <c r="E20" s="11"/>
      <c r="F20" s="15"/>
    </row>
    <row r="21" spans="1:6" x14ac:dyDescent="0.2">
      <c r="A21" s="120"/>
      <c r="B21" s="6"/>
      <c r="C21" s="12"/>
      <c r="D21" s="14"/>
      <c r="E21" s="11"/>
      <c r="F21" s="15"/>
    </row>
    <row r="22" spans="1:6" x14ac:dyDescent="0.2">
      <c r="A22" s="120"/>
      <c r="B22" s="6"/>
      <c r="C22" s="12"/>
      <c r="D22" s="14"/>
      <c r="E22" s="11"/>
      <c r="F22" s="15"/>
    </row>
    <row r="23" spans="1:6" x14ac:dyDescent="0.2">
      <c r="A23" s="120"/>
      <c r="B23" s="6"/>
      <c r="C23" s="12"/>
      <c r="D23" s="14"/>
      <c r="E23" s="11"/>
      <c r="F23" s="15"/>
    </row>
    <row r="24" spans="1:6" x14ac:dyDescent="0.2">
      <c r="A24" s="120"/>
      <c r="B24" s="6"/>
      <c r="C24" s="12"/>
      <c r="D24" s="14"/>
      <c r="E24" s="11"/>
      <c r="F24" s="15"/>
    </row>
    <row r="25" spans="1:6" x14ac:dyDescent="0.2">
      <c r="A25" s="120"/>
      <c r="B25" s="6"/>
      <c r="C25" s="12"/>
      <c r="D25" s="14"/>
      <c r="E25" s="11"/>
      <c r="F25" s="15"/>
    </row>
    <row r="26" spans="1:6" x14ac:dyDescent="0.2">
      <c r="A26" s="120"/>
      <c r="B26" s="6"/>
      <c r="C26" s="12"/>
      <c r="D26" s="14"/>
      <c r="E26" s="11"/>
      <c r="F26" s="15"/>
    </row>
    <row r="27" spans="1:6" x14ac:dyDescent="0.2">
      <c r="A27" s="120"/>
      <c r="B27" s="6"/>
      <c r="C27" s="12"/>
      <c r="D27" s="14"/>
      <c r="E27" s="11"/>
      <c r="F27" s="15"/>
    </row>
    <row r="28" spans="1:6" x14ac:dyDescent="0.2">
      <c r="A28" s="120"/>
      <c r="B28" s="6"/>
      <c r="C28" s="12"/>
      <c r="D28" s="14"/>
      <c r="E28" s="11"/>
      <c r="F28" s="15"/>
    </row>
    <row r="29" spans="1:6" x14ac:dyDescent="0.2">
      <c r="A29" s="120"/>
      <c r="B29" s="6"/>
      <c r="C29" s="12"/>
      <c r="D29" s="14"/>
      <c r="E29" s="11"/>
      <c r="F29" s="15"/>
    </row>
    <row r="30" spans="1:6" x14ac:dyDescent="0.2">
      <c r="A30" s="120"/>
      <c r="B30" s="6"/>
      <c r="C30" s="12"/>
      <c r="D30" s="13"/>
      <c r="E30" s="11"/>
      <c r="F30" s="15"/>
    </row>
    <row r="31" spans="1:6" x14ac:dyDescent="0.2">
      <c r="A31" s="120"/>
      <c r="B31" s="6"/>
      <c r="C31" s="12"/>
      <c r="D31" s="14"/>
      <c r="E31" s="11"/>
      <c r="F31" s="15"/>
    </row>
    <row r="32" spans="1:6" x14ac:dyDescent="0.2">
      <c r="A32" s="120"/>
      <c r="B32" s="6"/>
      <c r="C32" s="12"/>
      <c r="D32" s="14"/>
      <c r="E32" s="11"/>
      <c r="F32" s="15"/>
    </row>
    <row r="33" spans="1:6" x14ac:dyDescent="0.2">
      <c r="A33" s="120"/>
      <c r="B33" s="6"/>
      <c r="C33" s="12"/>
      <c r="D33" s="14"/>
      <c r="E33" s="11"/>
      <c r="F33" s="15"/>
    </row>
    <row r="34" spans="1:6" x14ac:dyDescent="0.2">
      <c r="A34" s="120"/>
      <c r="B34" s="6"/>
      <c r="C34" s="12"/>
      <c r="D34" s="14"/>
      <c r="E34" s="11"/>
      <c r="F34" s="15"/>
    </row>
    <row r="35" spans="1:6" x14ac:dyDescent="0.2">
      <c r="A35" s="120"/>
      <c r="B35" s="6"/>
      <c r="C35" s="12"/>
      <c r="D35" s="14"/>
      <c r="E35" s="11"/>
      <c r="F35" s="15"/>
    </row>
    <row r="36" spans="1:6" x14ac:dyDescent="0.2">
      <c r="A36" s="120"/>
      <c r="B36" s="6"/>
      <c r="C36" s="12"/>
      <c r="D36" s="14"/>
      <c r="E36" s="11"/>
      <c r="F36" s="15"/>
    </row>
    <row r="37" spans="1:6" x14ac:dyDescent="0.2">
      <c r="A37" s="120"/>
      <c r="B37" s="6"/>
      <c r="C37" s="12"/>
      <c r="D37" s="14"/>
      <c r="E37" s="11"/>
      <c r="F37" s="31"/>
    </row>
    <row r="38" spans="1:6" x14ac:dyDescent="0.2">
      <c r="A38" s="120"/>
      <c r="B38" s="6"/>
      <c r="C38" s="12"/>
      <c r="D38" s="14"/>
      <c r="E38" s="11"/>
      <c r="F38" s="15"/>
    </row>
    <row r="39" spans="1:6" x14ac:dyDescent="0.2">
      <c r="A39" s="120"/>
      <c r="B39" s="6"/>
      <c r="C39" s="12"/>
      <c r="D39" s="14"/>
      <c r="E39" s="11"/>
      <c r="F39" s="15"/>
    </row>
    <row r="40" spans="1:6" x14ac:dyDescent="0.2">
      <c r="A40" s="120"/>
      <c r="B40" s="6"/>
      <c r="C40" s="12"/>
      <c r="D40" s="14"/>
      <c r="E40" s="11"/>
      <c r="F40" s="15"/>
    </row>
    <row r="41" spans="1:6" x14ac:dyDescent="0.2">
      <c r="A41" s="120"/>
      <c r="B41" s="6"/>
      <c r="C41" s="12"/>
      <c r="D41" s="14"/>
      <c r="E41" s="11"/>
      <c r="F41" s="15"/>
    </row>
    <row r="42" spans="1:6" x14ac:dyDescent="0.2">
      <c r="A42" s="120"/>
      <c r="B42" s="6"/>
      <c r="C42" s="12"/>
      <c r="D42" s="14"/>
      <c r="E42" s="11"/>
      <c r="F42" s="15"/>
    </row>
    <row r="43" spans="1:6" x14ac:dyDescent="0.2">
      <c r="A43" s="120"/>
      <c r="B43" s="6"/>
      <c r="C43" s="12"/>
      <c r="D43" s="14"/>
      <c r="E43" s="11"/>
      <c r="F43" s="15"/>
    </row>
    <row r="44" spans="1:6" x14ac:dyDescent="0.2">
      <c r="A44" s="120"/>
      <c r="B44" s="6"/>
      <c r="C44" s="12"/>
      <c r="D44" s="14"/>
      <c r="E44" s="11"/>
      <c r="F44" s="15"/>
    </row>
    <row r="45" spans="1:6" x14ac:dyDescent="0.2">
      <c r="A45" s="120"/>
      <c r="B45" s="6"/>
      <c r="C45" s="12"/>
      <c r="D45" s="14"/>
      <c r="E45" s="11"/>
      <c r="F45" s="15"/>
    </row>
    <row r="46" spans="1:6" x14ac:dyDescent="0.2">
      <c r="A46" s="120"/>
      <c r="B46" s="6"/>
      <c r="C46" s="12"/>
      <c r="D46" s="14"/>
      <c r="E46" s="11"/>
      <c r="F46" s="15"/>
    </row>
    <row r="47" spans="1:6" x14ac:dyDescent="0.2">
      <c r="A47" s="120"/>
      <c r="B47" s="6"/>
      <c r="C47" s="12"/>
      <c r="D47" s="14"/>
      <c r="E47" s="11"/>
      <c r="F47" s="15"/>
    </row>
    <row r="48" spans="1:6" x14ac:dyDescent="0.2">
      <c r="A48" s="120"/>
      <c r="B48" s="6"/>
      <c r="C48" s="12"/>
      <c r="D48" s="14"/>
      <c r="E48" s="11"/>
      <c r="F48" s="15"/>
    </row>
    <row r="49" spans="1:6" x14ac:dyDescent="0.2">
      <c r="A49" s="120"/>
      <c r="B49" s="6"/>
      <c r="C49" s="12"/>
      <c r="D49" s="14"/>
      <c r="E49" s="11"/>
      <c r="F49" s="31"/>
    </row>
    <row r="50" spans="1:6" x14ac:dyDescent="0.2">
      <c r="A50" s="120"/>
      <c r="B50" s="6"/>
      <c r="C50" s="12"/>
      <c r="D50" s="14"/>
      <c r="E50" s="11"/>
      <c r="F50" s="15"/>
    </row>
    <row r="51" spans="1:6" x14ac:dyDescent="0.2">
      <c r="A51" s="120"/>
      <c r="B51" s="6"/>
      <c r="C51" s="12"/>
      <c r="D51" s="14"/>
      <c r="E51" s="11"/>
      <c r="F51" s="15"/>
    </row>
    <row r="52" spans="1:6" x14ac:dyDescent="0.2">
      <c r="A52" s="120"/>
      <c r="B52" s="6"/>
      <c r="C52" s="12"/>
      <c r="D52" s="14"/>
      <c r="E52" s="11"/>
      <c r="F52" s="15"/>
    </row>
    <row r="53" spans="1:6" x14ac:dyDescent="0.2">
      <c r="A53" s="120"/>
      <c r="B53" s="6"/>
      <c r="C53" s="12"/>
      <c r="D53" s="14"/>
      <c r="E53" s="11"/>
      <c r="F53" s="15"/>
    </row>
    <row r="54" spans="1:6" x14ac:dyDescent="0.2">
      <c r="A54" s="120"/>
      <c r="B54" s="6"/>
      <c r="C54" s="12"/>
      <c r="D54" s="14"/>
      <c r="E54" s="11"/>
      <c r="F54" s="15"/>
    </row>
    <row r="55" spans="1:6" x14ac:dyDescent="0.2">
      <c r="A55" s="120"/>
      <c r="B55" s="6"/>
      <c r="C55" s="12"/>
      <c r="D55" s="14"/>
      <c r="E55" s="11"/>
      <c r="F55" s="15"/>
    </row>
    <row r="56" spans="1:6" x14ac:dyDescent="0.2">
      <c r="A56" s="120"/>
      <c r="B56" s="6"/>
      <c r="C56" s="12"/>
      <c r="D56" s="14"/>
      <c r="E56" s="11"/>
      <c r="F56" s="15"/>
    </row>
    <row r="57" spans="1:6" x14ac:dyDescent="0.2">
      <c r="A57" s="120"/>
      <c r="B57" s="6"/>
      <c r="C57" s="12"/>
      <c r="D57" s="14"/>
      <c r="E57" s="11"/>
      <c r="F57" s="15"/>
    </row>
    <row r="58" spans="1:6" x14ac:dyDescent="0.2">
      <c r="A58" s="120"/>
      <c r="B58" s="6"/>
      <c r="C58" s="12"/>
      <c r="D58" s="14"/>
      <c r="E58" s="11"/>
      <c r="F58" s="15"/>
    </row>
    <row r="59" spans="1:6" x14ac:dyDescent="0.2">
      <c r="A59" s="120"/>
      <c r="B59" s="6"/>
      <c r="C59" s="12"/>
      <c r="D59" s="14"/>
      <c r="E59" s="11"/>
      <c r="F59" s="15"/>
    </row>
    <row r="60" spans="1:6" x14ac:dyDescent="0.2">
      <c r="A60" s="120"/>
      <c r="B60" s="6"/>
      <c r="C60" s="12"/>
      <c r="D60" s="14"/>
      <c r="E60" s="11"/>
      <c r="F60" s="15"/>
    </row>
    <row r="61" spans="1:6" x14ac:dyDescent="0.2">
      <c r="A61" s="120"/>
      <c r="B61" s="6"/>
      <c r="C61" s="12"/>
      <c r="D61" s="14"/>
      <c r="E61" s="11"/>
      <c r="F61" s="15"/>
    </row>
    <row r="62" spans="1:6" x14ac:dyDescent="0.2">
      <c r="A62" s="120"/>
      <c r="B62" s="6"/>
      <c r="C62" s="12"/>
      <c r="D62" s="14"/>
      <c r="E62" s="11"/>
      <c r="F62" s="15"/>
    </row>
    <row r="63" spans="1:6" x14ac:dyDescent="0.2">
      <c r="A63" s="120"/>
      <c r="B63" s="6"/>
      <c r="C63" s="12"/>
      <c r="D63" s="14"/>
      <c r="E63" s="11"/>
      <c r="F63" s="15"/>
    </row>
    <row r="64" spans="1:6" x14ac:dyDescent="0.2">
      <c r="A64" s="120"/>
      <c r="B64" s="6"/>
      <c r="C64" s="12"/>
      <c r="D64" s="14"/>
      <c r="E64" s="11"/>
      <c r="F64" s="15"/>
    </row>
    <row r="65" spans="1:6" x14ac:dyDescent="0.2">
      <c r="A65" s="120"/>
      <c r="B65" s="6"/>
      <c r="C65" s="12"/>
      <c r="D65" s="14"/>
      <c r="E65" s="11"/>
      <c r="F65" s="15"/>
    </row>
    <row r="66" spans="1:6" x14ac:dyDescent="0.2">
      <c r="A66" s="120"/>
      <c r="B66" s="6"/>
      <c r="C66" s="12"/>
      <c r="D66" s="14"/>
      <c r="E66" s="11"/>
      <c r="F66" s="15"/>
    </row>
    <row r="67" spans="1:6" x14ac:dyDescent="0.2">
      <c r="A67" s="120"/>
      <c r="B67" s="6"/>
      <c r="C67" s="12"/>
      <c r="D67" s="14"/>
      <c r="E67" s="11"/>
      <c r="F67" s="15"/>
    </row>
    <row r="68" spans="1:6" x14ac:dyDescent="0.2">
      <c r="A68" s="120"/>
      <c r="B68" s="6"/>
      <c r="C68" s="12"/>
      <c r="D68" s="14"/>
      <c r="E68" s="11"/>
      <c r="F68" s="15"/>
    </row>
    <row r="69" spans="1:6" x14ac:dyDescent="0.2">
      <c r="A69" s="120"/>
      <c r="B69" s="6"/>
      <c r="C69" s="12"/>
      <c r="D69" s="14"/>
      <c r="E69" s="11"/>
      <c r="F69" s="15"/>
    </row>
    <row r="70" spans="1:6" x14ac:dyDescent="0.2">
      <c r="A70" s="120"/>
      <c r="B70" s="6"/>
      <c r="C70" s="12"/>
      <c r="D70" s="14"/>
      <c r="E70" s="11"/>
      <c r="F70" s="15"/>
    </row>
    <row r="71" spans="1:6" x14ac:dyDescent="0.2">
      <c r="A71" s="120"/>
      <c r="B71" s="6"/>
      <c r="C71" s="12"/>
      <c r="D71" s="14"/>
      <c r="E71" s="11"/>
      <c r="F71" s="15"/>
    </row>
    <row r="72" spans="1:6" x14ac:dyDescent="0.2">
      <c r="A72" s="120"/>
      <c r="B72" s="6"/>
      <c r="C72" s="12"/>
      <c r="D72" s="14"/>
      <c r="E72" s="11"/>
      <c r="F72" s="15"/>
    </row>
    <row r="73" spans="1:6" ht="13.5" thickBot="1" x14ac:dyDescent="0.25">
      <c r="A73" s="121"/>
      <c r="B73" s="16"/>
      <c r="C73" s="17"/>
      <c r="D73" s="18"/>
      <c r="E73" s="19"/>
      <c r="F73" s="20"/>
    </row>
    <row r="74" spans="1:6" x14ac:dyDescent="0.2">
      <c r="A74" s="124"/>
      <c r="B74" s="117"/>
      <c r="C74" s="118"/>
      <c r="D74" s="119"/>
      <c r="E74" s="116"/>
      <c r="F74" s="116"/>
    </row>
    <row r="75" spans="1:6" x14ac:dyDescent="0.2">
      <c r="A75" s="116"/>
      <c r="B75" s="117"/>
      <c r="C75" s="118"/>
      <c r="D75" s="119"/>
      <c r="E75" s="116"/>
      <c r="F75" s="116"/>
    </row>
    <row r="76" spans="1:6" x14ac:dyDescent="0.2">
      <c r="A76" s="116"/>
      <c r="B76" s="117"/>
      <c r="C76" s="118"/>
      <c r="D76" s="119"/>
      <c r="E76" s="116"/>
      <c r="F76" s="116"/>
    </row>
    <row r="77" spans="1:6" x14ac:dyDescent="0.2">
      <c r="A77" s="116"/>
      <c r="B77" s="117"/>
      <c r="C77" s="118"/>
      <c r="D77" s="119"/>
      <c r="E77" s="116"/>
      <c r="F77" s="116"/>
    </row>
    <row r="78" spans="1:6" x14ac:dyDescent="0.2">
      <c r="A78" s="116"/>
      <c r="B78" s="117"/>
      <c r="C78" s="118"/>
      <c r="D78" s="119"/>
      <c r="E78" s="116"/>
      <c r="F78" s="116"/>
    </row>
    <row r="79" spans="1:6" x14ac:dyDescent="0.2">
      <c r="A79" s="116"/>
      <c r="B79" s="117"/>
      <c r="C79" s="118"/>
      <c r="D79" s="119"/>
      <c r="E79" s="116"/>
      <c r="F79" s="116"/>
    </row>
    <row r="80" spans="1:6" x14ac:dyDescent="0.2">
      <c r="A80" s="116"/>
      <c r="B80" s="117"/>
      <c r="C80" s="118"/>
      <c r="D80" s="119"/>
      <c r="E80" s="116"/>
      <c r="F80" s="116"/>
    </row>
    <row r="81" spans="1:6" x14ac:dyDescent="0.2">
      <c r="A81" s="116"/>
      <c r="B81" s="117"/>
      <c r="C81" s="118"/>
      <c r="D81" s="119"/>
      <c r="E81" s="116"/>
      <c r="F81" s="116"/>
    </row>
    <row r="82" spans="1:6" x14ac:dyDescent="0.2">
      <c r="A82" s="116"/>
      <c r="B82" s="117"/>
      <c r="C82" s="118"/>
      <c r="D82" s="119"/>
      <c r="E82" s="116"/>
      <c r="F82" s="116"/>
    </row>
    <row r="83" spans="1:6" x14ac:dyDescent="0.2">
      <c r="A83" s="116"/>
      <c r="B83" s="117"/>
      <c r="C83" s="118"/>
      <c r="D83" s="119"/>
      <c r="E83" s="116"/>
      <c r="F83" s="116"/>
    </row>
    <row r="84" spans="1:6" x14ac:dyDescent="0.2">
      <c r="A84" s="116"/>
      <c r="B84" s="117"/>
      <c r="C84" s="118"/>
      <c r="D84" s="119"/>
      <c r="E84" s="116"/>
      <c r="F84" s="116"/>
    </row>
    <row r="85" spans="1:6" x14ac:dyDescent="0.2">
      <c r="A85" s="116"/>
      <c r="B85" s="117"/>
      <c r="C85" s="118"/>
      <c r="D85" s="119"/>
      <c r="E85" s="116"/>
      <c r="F85" s="116"/>
    </row>
    <row r="86" spans="1:6" x14ac:dyDescent="0.2">
      <c r="A86" s="116"/>
      <c r="B86" s="117"/>
      <c r="C86" s="118"/>
      <c r="D86" s="119"/>
      <c r="E86" s="116"/>
      <c r="F86" s="116"/>
    </row>
    <row r="87" spans="1:6" x14ac:dyDescent="0.2">
      <c r="A87" s="116"/>
      <c r="B87" s="117"/>
      <c r="C87" s="118"/>
      <c r="D87" s="119"/>
      <c r="E87" s="116"/>
      <c r="F87" s="116"/>
    </row>
    <row r="88" spans="1:6" x14ac:dyDescent="0.2">
      <c r="A88" s="116"/>
      <c r="B88" s="117"/>
      <c r="C88" s="118"/>
      <c r="D88" s="119"/>
      <c r="E88" s="116"/>
      <c r="F88" s="116"/>
    </row>
    <row r="89" spans="1:6" x14ac:dyDescent="0.2">
      <c r="A89" s="116"/>
      <c r="B89" s="117"/>
      <c r="C89" s="118"/>
      <c r="D89" s="119"/>
      <c r="E89" s="116"/>
      <c r="F89" s="116"/>
    </row>
    <row r="90" spans="1:6" x14ac:dyDescent="0.2">
      <c r="A90" s="116"/>
      <c r="B90" s="117"/>
      <c r="C90" s="118"/>
      <c r="D90" s="119"/>
      <c r="E90" s="116"/>
      <c r="F90" s="116"/>
    </row>
    <row r="91" spans="1:6" x14ac:dyDescent="0.2">
      <c r="A91" s="116"/>
      <c r="B91" s="117"/>
      <c r="C91" s="118"/>
      <c r="D91" s="119"/>
      <c r="E91" s="116"/>
      <c r="F91" s="116"/>
    </row>
    <row r="92" spans="1:6" x14ac:dyDescent="0.2">
      <c r="A92" s="116"/>
      <c r="B92" s="117"/>
      <c r="C92" s="118"/>
      <c r="D92" s="119"/>
      <c r="E92" s="116"/>
      <c r="F92" s="116"/>
    </row>
    <row r="93" spans="1:6" x14ac:dyDescent="0.2">
      <c r="A93" s="116"/>
      <c r="B93" s="117"/>
      <c r="C93" s="118"/>
      <c r="D93" s="119"/>
      <c r="E93" s="116"/>
      <c r="F93" s="116"/>
    </row>
    <row r="94" spans="1:6" x14ac:dyDescent="0.2">
      <c r="A94" s="116"/>
      <c r="B94" s="117"/>
      <c r="C94" s="118"/>
      <c r="D94" s="119"/>
      <c r="E94" s="116"/>
      <c r="F94" s="116"/>
    </row>
    <row r="95" spans="1:6" x14ac:dyDescent="0.2">
      <c r="A95" s="116"/>
      <c r="B95" s="117"/>
      <c r="C95" s="118"/>
      <c r="D95" s="119"/>
      <c r="E95" s="116"/>
      <c r="F95" s="116"/>
    </row>
    <row r="96" spans="1:6" x14ac:dyDescent="0.2">
      <c r="A96" s="116"/>
      <c r="B96" s="117"/>
      <c r="C96" s="118"/>
      <c r="D96" s="119"/>
      <c r="E96" s="116"/>
      <c r="F96" s="116"/>
    </row>
    <row r="97" spans="1:6" x14ac:dyDescent="0.2">
      <c r="A97" s="116"/>
      <c r="B97" s="117"/>
      <c r="C97" s="118"/>
      <c r="D97" s="119"/>
      <c r="E97" s="116"/>
      <c r="F97" s="116"/>
    </row>
    <row r="98" spans="1:6" x14ac:dyDescent="0.2">
      <c r="A98" s="116"/>
      <c r="B98" s="117"/>
      <c r="C98" s="118"/>
      <c r="D98" s="119"/>
      <c r="E98" s="116"/>
      <c r="F98" s="116"/>
    </row>
    <row r="99" spans="1:6" x14ac:dyDescent="0.2">
      <c r="A99" s="116"/>
      <c r="B99" s="117"/>
      <c r="C99" s="118"/>
      <c r="D99" s="119"/>
      <c r="E99" s="116"/>
      <c r="F99" s="116"/>
    </row>
    <row r="100" spans="1:6" x14ac:dyDescent="0.2">
      <c r="A100" s="116"/>
      <c r="B100" s="117"/>
      <c r="C100" s="118"/>
      <c r="D100" s="119"/>
      <c r="E100" s="116"/>
      <c r="F100" s="116"/>
    </row>
    <row r="101" spans="1:6" x14ac:dyDescent="0.2">
      <c r="A101" s="116"/>
      <c r="B101" s="117"/>
      <c r="C101" s="118"/>
      <c r="D101" s="119"/>
      <c r="E101" s="116"/>
      <c r="F101" s="116"/>
    </row>
    <row r="102" spans="1:6" x14ac:dyDescent="0.2">
      <c r="A102" s="116"/>
      <c r="B102" s="117"/>
      <c r="C102" s="118"/>
      <c r="D102" s="119"/>
      <c r="E102" s="116"/>
      <c r="F102" s="116"/>
    </row>
    <row r="103" spans="1:6" x14ac:dyDescent="0.2">
      <c r="A103" s="116"/>
      <c r="B103" s="117"/>
      <c r="C103" s="118"/>
      <c r="D103" s="119"/>
      <c r="E103" s="116"/>
      <c r="F103" s="116"/>
    </row>
    <row r="104" spans="1:6" x14ac:dyDescent="0.2">
      <c r="A104" s="116"/>
      <c r="B104" s="117"/>
      <c r="C104" s="118"/>
      <c r="D104" s="119"/>
      <c r="E104" s="116"/>
      <c r="F104" s="116"/>
    </row>
    <row r="105" spans="1:6" x14ac:dyDescent="0.2">
      <c r="A105" s="116"/>
      <c r="B105" s="117"/>
      <c r="C105" s="118"/>
      <c r="D105" s="119"/>
      <c r="E105" s="116"/>
      <c r="F105" s="116"/>
    </row>
    <row r="106" spans="1:6" x14ac:dyDescent="0.2">
      <c r="A106" s="116"/>
      <c r="B106" s="117"/>
      <c r="C106" s="118"/>
      <c r="D106" s="119"/>
      <c r="E106" s="116"/>
      <c r="F106" s="116"/>
    </row>
    <row r="107" spans="1:6" x14ac:dyDescent="0.2">
      <c r="A107" s="116"/>
      <c r="B107" s="117"/>
      <c r="C107" s="118"/>
      <c r="D107" s="119"/>
      <c r="E107" s="116"/>
      <c r="F107" s="116"/>
    </row>
    <row r="108" spans="1:6" x14ac:dyDescent="0.2">
      <c r="A108" s="116"/>
      <c r="B108" s="117"/>
      <c r="C108" s="118"/>
      <c r="D108" s="119"/>
      <c r="E108" s="116"/>
      <c r="F108" s="116"/>
    </row>
    <row r="109" spans="1:6" x14ac:dyDescent="0.2">
      <c r="A109" s="116"/>
      <c r="B109" s="117"/>
      <c r="C109" s="118"/>
      <c r="D109" s="119"/>
      <c r="E109" s="116"/>
      <c r="F109" s="116"/>
    </row>
    <row r="110" spans="1:6" x14ac:dyDescent="0.2">
      <c r="A110" s="116"/>
      <c r="B110" s="117"/>
      <c r="C110" s="118"/>
      <c r="D110" s="119"/>
      <c r="E110" s="116"/>
      <c r="F110" s="116"/>
    </row>
    <row r="111" spans="1:6" x14ac:dyDescent="0.2">
      <c r="A111" s="116"/>
      <c r="B111" s="117"/>
      <c r="C111" s="118"/>
      <c r="D111" s="119"/>
      <c r="E111" s="116"/>
      <c r="F111" s="116"/>
    </row>
    <row r="112" spans="1:6" x14ac:dyDescent="0.2">
      <c r="A112" s="116"/>
      <c r="B112" s="117"/>
      <c r="C112" s="118"/>
      <c r="D112" s="119"/>
      <c r="E112" s="116"/>
      <c r="F112" s="116"/>
    </row>
    <row r="113" spans="1:6" x14ac:dyDescent="0.2">
      <c r="A113" s="116"/>
      <c r="B113" s="117"/>
      <c r="C113" s="118"/>
      <c r="D113" s="119"/>
      <c r="E113" s="116"/>
      <c r="F113" s="116"/>
    </row>
    <row r="114" spans="1:6" x14ac:dyDescent="0.2">
      <c r="A114" s="116"/>
      <c r="B114" s="117"/>
      <c r="C114" s="118"/>
      <c r="D114" s="119"/>
      <c r="E114" s="116"/>
      <c r="F114" s="116"/>
    </row>
    <row r="115" spans="1:6" x14ac:dyDescent="0.2">
      <c r="A115" s="116"/>
      <c r="B115" s="117"/>
      <c r="C115" s="118"/>
      <c r="D115" s="119"/>
      <c r="E115" s="116"/>
      <c r="F115" s="116"/>
    </row>
    <row r="116" spans="1:6" x14ac:dyDescent="0.2">
      <c r="A116" s="116"/>
      <c r="B116" s="117"/>
      <c r="C116" s="118"/>
      <c r="D116" s="119"/>
      <c r="E116" s="116"/>
      <c r="F116" s="116"/>
    </row>
    <row r="117" spans="1:6" x14ac:dyDescent="0.2">
      <c r="A117" s="116"/>
      <c r="B117" s="117"/>
      <c r="C117" s="118"/>
      <c r="D117" s="119"/>
      <c r="E117" s="116"/>
      <c r="F117" s="116"/>
    </row>
    <row r="118" spans="1:6" x14ac:dyDescent="0.2">
      <c r="A118" s="116"/>
      <c r="B118" s="117"/>
      <c r="C118" s="118"/>
      <c r="D118" s="119"/>
      <c r="E118" s="116"/>
      <c r="F118" s="116"/>
    </row>
    <row r="119" spans="1:6" x14ac:dyDescent="0.2">
      <c r="A119" s="116"/>
      <c r="B119" s="117"/>
      <c r="C119" s="118"/>
      <c r="D119" s="119"/>
      <c r="E119" s="116"/>
      <c r="F119" s="116"/>
    </row>
    <row r="120" spans="1:6" x14ac:dyDescent="0.2">
      <c r="A120" s="116"/>
      <c r="B120" s="117"/>
      <c r="C120" s="118"/>
      <c r="D120" s="119"/>
      <c r="E120" s="116"/>
      <c r="F120" s="116"/>
    </row>
    <row r="121" spans="1:6" x14ac:dyDescent="0.2">
      <c r="A121" s="116"/>
      <c r="B121" s="117"/>
      <c r="C121" s="118"/>
      <c r="D121" s="119"/>
      <c r="E121" s="116"/>
      <c r="F121" s="116"/>
    </row>
    <row r="122" spans="1:6" x14ac:dyDescent="0.2">
      <c r="A122" s="116"/>
      <c r="B122" s="117"/>
      <c r="C122" s="118"/>
      <c r="D122" s="119"/>
      <c r="E122" s="116"/>
      <c r="F122" s="116"/>
    </row>
    <row r="123" spans="1:6" x14ac:dyDescent="0.2">
      <c r="A123" s="116"/>
      <c r="B123" s="117"/>
      <c r="C123" s="118"/>
      <c r="D123" s="119"/>
      <c r="E123" s="116"/>
      <c r="F123" s="116"/>
    </row>
    <row r="124" spans="1:6" x14ac:dyDescent="0.2">
      <c r="A124" s="116"/>
      <c r="B124" s="117"/>
      <c r="C124" s="118"/>
      <c r="D124" s="119"/>
      <c r="E124" s="116"/>
      <c r="F124" s="116"/>
    </row>
    <row r="125" spans="1:6" x14ac:dyDescent="0.2">
      <c r="A125" s="116"/>
      <c r="B125" s="117"/>
      <c r="C125" s="118"/>
      <c r="D125" s="119"/>
      <c r="E125" s="116"/>
      <c r="F125" s="116"/>
    </row>
    <row r="126" spans="1:6" x14ac:dyDescent="0.2">
      <c r="A126" s="116"/>
      <c r="B126" s="117"/>
      <c r="C126" s="118"/>
      <c r="D126" s="119"/>
      <c r="E126" s="116"/>
      <c r="F126" s="116"/>
    </row>
    <row r="127" spans="1:6" x14ac:dyDescent="0.2">
      <c r="A127" s="116"/>
      <c r="B127" s="117"/>
      <c r="C127" s="118"/>
      <c r="D127" s="119"/>
      <c r="E127" s="116"/>
      <c r="F127" s="116"/>
    </row>
    <row r="128" spans="1:6" x14ac:dyDescent="0.2">
      <c r="A128" s="116"/>
      <c r="B128" s="117"/>
      <c r="C128" s="118"/>
      <c r="D128" s="119"/>
      <c r="E128" s="116"/>
      <c r="F128" s="116"/>
    </row>
    <row r="129" spans="1:6" x14ac:dyDescent="0.2">
      <c r="A129" s="116"/>
      <c r="B129" s="117"/>
      <c r="C129" s="118"/>
      <c r="D129" s="119"/>
      <c r="E129" s="116"/>
      <c r="F129" s="116"/>
    </row>
    <row r="130" spans="1:6" x14ac:dyDescent="0.2">
      <c r="A130" s="116"/>
      <c r="B130" s="117"/>
      <c r="C130" s="118"/>
      <c r="D130" s="119"/>
      <c r="E130" s="116"/>
      <c r="F130" s="116"/>
    </row>
    <row r="131" spans="1:6" x14ac:dyDescent="0.2">
      <c r="A131" s="116"/>
      <c r="B131" s="117"/>
      <c r="C131" s="118"/>
      <c r="D131" s="119"/>
      <c r="E131" s="116"/>
      <c r="F131" s="116"/>
    </row>
    <row r="132" spans="1:6" x14ac:dyDescent="0.2">
      <c r="A132" s="116"/>
      <c r="B132" s="117"/>
      <c r="C132" s="118"/>
      <c r="D132" s="119"/>
      <c r="E132" s="116"/>
      <c r="F132" s="116"/>
    </row>
    <row r="133" spans="1:6" x14ac:dyDescent="0.2">
      <c r="A133" s="116"/>
      <c r="B133" s="117"/>
      <c r="C133" s="118"/>
      <c r="D133" s="119"/>
      <c r="E133" s="116"/>
      <c r="F133" s="116"/>
    </row>
    <row r="134" spans="1:6" x14ac:dyDescent="0.2">
      <c r="A134" s="116"/>
      <c r="B134" s="117"/>
      <c r="C134" s="118"/>
      <c r="D134" s="119"/>
      <c r="E134" s="116"/>
      <c r="F134" s="116"/>
    </row>
    <row r="135" spans="1:6" x14ac:dyDescent="0.2">
      <c r="A135" s="116"/>
      <c r="B135" s="117"/>
      <c r="C135" s="118"/>
      <c r="D135" s="119"/>
      <c r="E135" s="116"/>
      <c r="F135" s="116"/>
    </row>
    <row r="136" spans="1:6" x14ac:dyDescent="0.2">
      <c r="A136" s="116"/>
      <c r="B136" s="117"/>
      <c r="C136" s="118"/>
      <c r="D136" s="119"/>
      <c r="E136" s="116"/>
      <c r="F136" s="116"/>
    </row>
    <row r="137" spans="1:6" x14ac:dyDescent="0.2">
      <c r="A137" s="116"/>
      <c r="B137" s="117"/>
      <c r="C137" s="118"/>
      <c r="D137" s="119"/>
      <c r="E137" s="116"/>
      <c r="F137" s="116"/>
    </row>
    <row r="138" spans="1:6" x14ac:dyDescent="0.2">
      <c r="A138" s="116"/>
      <c r="B138" s="117"/>
      <c r="C138" s="118"/>
      <c r="D138" s="119"/>
      <c r="E138" s="116"/>
      <c r="F138" s="116"/>
    </row>
    <row r="139" spans="1:6" x14ac:dyDescent="0.2">
      <c r="A139" s="116"/>
      <c r="B139" s="117"/>
      <c r="C139" s="118"/>
      <c r="D139" s="119"/>
      <c r="E139" s="116"/>
      <c r="F139" s="116"/>
    </row>
    <row r="140" spans="1:6" x14ac:dyDescent="0.2">
      <c r="A140" s="116"/>
      <c r="B140" s="117"/>
      <c r="C140" s="118"/>
      <c r="D140" s="119"/>
      <c r="E140" s="116"/>
      <c r="F140" s="116"/>
    </row>
    <row r="141" spans="1:6" x14ac:dyDescent="0.2">
      <c r="A141" s="116"/>
      <c r="B141" s="117"/>
      <c r="C141" s="118"/>
      <c r="D141" s="119"/>
      <c r="E141" s="116"/>
      <c r="F141" s="116"/>
    </row>
    <row r="142" spans="1:6" x14ac:dyDescent="0.2">
      <c r="A142" s="116"/>
      <c r="B142" s="117"/>
      <c r="C142" s="118"/>
      <c r="D142" s="119"/>
      <c r="E142" s="116"/>
      <c r="F142" s="116"/>
    </row>
    <row r="143" spans="1:6" x14ac:dyDescent="0.2">
      <c r="A143" s="116"/>
      <c r="B143" s="117"/>
      <c r="C143" s="118"/>
      <c r="D143" s="119"/>
      <c r="E143" s="116"/>
      <c r="F143" s="116"/>
    </row>
    <row r="144" spans="1:6" x14ac:dyDescent="0.2">
      <c r="A144" s="116"/>
      <c r="B144" s="117"/>
      <c r="C144" s="118"/>
      <c r="D144" s="119"/>
      <c r="E144" s="116"/>
      <c r="F144" s="116"/>
    </row>
    <row r="145" spans="1:6" x14ac:dyDescent="0.2">
      <c r="A145" s="116"/>
      <c r="B145" s="117"/>
      <c r="C145" s="118"/>
      <c r="D145" s="119"/>
      <c r="E145" s="116"/>
      <c r="F145" s="116"/>
    </row>
    <row r="146" spans="1:6" x14ac:dyDescent="0.2">
      <c r="A146" s="116"/>
      <c r="B146" s="117"/>
      <c r="C146" s="118"/>
      <c r="D146" s="119"/>
      <c r="E146" s="116"/>
      <c r="F146" s="116"/>
    </row>
    <row r="147" spans="1:6" x14ac:dyDescent="0.2">
      <c r="A147" s="116"/>
      <c r="B147" s="117"/>
      <c r="C147" s="118"/>
      <c r="D147" s="119"/>
      <c r="E147" s="116"/>
      <c r="F147" s="116"/>
    </row>
    <row r="148" spans="1:6" x14ac:dyDescent="0.2">
      <c r="A148" s="116"/>
      <c r="B148" s="117"/>
      <c r="C148" s="118"/>
      <c r="D148" s="119"/>
      <c r="E148" s="116"/>
      <c r="F148" s="116"/>
    </row>
    <row r="149" spans="1:6" x14ac:dyDescent="0.2">
      <c r="A149" s="116"/>
      <c r="B149" s="117"/>
      <c r="C149" s="118"/>
      <c r="D149" s="119"/>
      <c r="E149" s="116"/>
      <c r="F149" s="116"/>
    </row>
    <row r="150" spans="1:6" x14ac:dyDescent="0.2">
      <c r="A150" s="116"/>
      <c r="B150" s="117"/>
      <c r="C150" s="118"/>
      <c r="D150" s="119"/>
      <c r="E150" s="116"/>
      <c r="F150" s="116"/>
    </row>
    <row r="151" spans="1:6" x14ac:dyDescent="0.2">
      <c r="A151" s="116"/>
      <c r="B151" s="117"/>
      <c r="C151" s="118"/>
      <c r="D151" s="119"/>
      <c r="E151" s="116"/>
      <c r="F151" s="116"/>
    </row>
    <row r="152" spans="1:6" x14ac:dyDescent="0.2">
      <c r="A152" s="116"/>
      <c r="B152" s="117"/>
      <c r="C152" s="118"/>
      <c r="D152" s="119"/>
      <c r="E152" s="116"/>
      <c r="F152" s="116"/>
    </row>
    <row r="153" spans="1:6" x14ac:dyDescent="0.2">
      <c r="A153" s="116"/>
      <c r="B153" s="117"/>
      <c r="C153" s="118"/>
      <c r="D153" s="119"/>
      <c r="E153" s="116"/>
      <c r="F153" s="116"/>
    </row>
    <row r="154" spans="1:6" x14ac:dyDescent="0.2">
      <c r="A154" s="116"/>
      <c r="B154" s="117"/>
      <c r="C154" s="118"/>
      <c r="D154" s="119"/>
      <c r="E154" s="116"/>
      <c r="F154" s="116"/>
    </row>
    <row r="155" spans="1:6" x14ac:dyDescent="0.2">
      <c r="A155" s="116"/>
      <c r="B155" s="117"/>
      <c r="C155" s="118"/>
      <c r="D155" s="119"/>
      <c r="E155" s="116"/>
      <c r="F155" s="116"/>
    </row>
    <row r="156" spans="1:6" x14ac:dyDescent="0.2">
      <c r="A156" s="116"/>
      <c r="B156" s="117"/>
      <c r="C156" s="118"/>
      <c r="D156" s="119"/>
      <c r="E156" s="116"/>
      <c r="F156" s="116"/>
    </row>
    <row r="157" spans="1:6" x14ac:dyDescent="0.2">
      <c r="A157" s="116"/>
      <c r="B157" s="117"/>
      <c r="C157" s="118"/>
      <c r="D157" s="119"/>
      <c r="E157" s="116"/>
      <c r="F157" s="116"/>
    </row>
    <row r="158" spans="1:6" x14ac:dyDescent="0.2">
      <c r="A158" s="116"/>
      <c r="B158" s="117"/>
      <c r="C158" s="118"/>
      <c r="D158" s="119"/>
      <c r="E158" s="116"/>
      <c r="F158" s="116"/>
    </row>
    <row r="159" spans="1:6" x14ac:dyDescent="0.2">
      <c r="A159" s="116"/>
      <c r="B159" s="117"/>
      <c r="C159" s="118"/>
      <c r="D159" s="119"/>
      <c r="E159" s="116"/>
      <c r="F159" s="116"/>
    </row>
    <row r="160" spans="1:6" x14ac:dyDescent="0.2">
      <c r="A160" s="116"/>
      <c r="B160" s="117"/>
      <c r="C160" s="118"/>
      <c r="D160" s="119"/>
      <c r="E160" s="116"/>
      <c r="F160" s="116"/>
    </row>
    <row r="161" spans="1:6" x14ac:dyDescent="0.2">
      <c r="A161" s="116"/>
      <c r="B161" s="117"/>
      <c r="C161" s="118"/>
      <c r="D161" s="119"/>
      <c r="E161" s="116"/>
      <c r="F161" s="116"/>
    </row>
    <row r="162" spans="1:6" x14ac:dyDescent="0.2">
      <c r="A162" s="116"/>
      <c r="B162" s="117"/>
      <c r="C162" s="118"/>
      <c r="D162" s="119"/>
      <c r="E162" s="116"/>
      <c r="F162" s="116"/>
    </row>
    <row r="163" spans="1:6" x14ac:dyDescent="0.2">
      <c r="A163" s="116"/>
      <c r="B163" s="117"/>
      <c r="C163" s="118"/>
      <c r="D163" s="119"/>
      <c r="E163" s="116"/>
      <c r="F163" s="116"/>
    </row>
    <row r="164" spans="1:6" x14ac:dyDescent="0.2">
      <c r="A164" s="116"/>
      <c r="B164" s="117"/>
      <c r="C164" s="118"/>
      <c r="D164" s="119"/>
      <c r="E164" s="116"/>
      <c r="F164" s="116"/>
    </row>
    <row r="165" spans="1:6" x14ac:dyDescent="0.2">
      <c r="A165" s="116"/>
      <c r="B165" s="117"/>
      <c r="C165" s="118"/>
      <c r="D165" s="119"/>
      <c r="E165" s="116"/>
      <c r="F165" s="116"/>
    </row>
    <row r="166" spans="1:6" x14ac:dyDescent="0.2">
      <c r="A166" s="116"/>
      <c r="B166" s="117"/>
      <c r="C166" s="118"/>
      <c r="D166" s="119"/>
      <c r="E166" s="116"/>
      <c r="F166" s="116"/>
    </row>
    <row r="167" spans="1:6" x14ac:dyDescent="0.2">
      <c r="A167" s="116"/>
      <c r="B167" s="117"/>
      <c r="C167" s="118"/>
      <c r="D167" s="119"/>
      <c r="E167" s="116"/>
      <c r="F167" s="116"/>
    </row>
    <row r="168" spans="1:6" x14ac:dyDescent="0.2">
      <c r="A168" s="116"/>
      <c r="B168" s="117"/>
      <c r="C168" s="118"/>
      <c r="D168" s="119"/>
      <c r="E168" s="116"/>
      <c r="F168" s="116"/>
    </row>
    <row r="169" spans="1:6" x14ac:dyDescent="0.2">
      <c r="A169" s="116"/>
      <c r="B169" s="117"/>
      <c r="C169" s="118"/>
      <c r="D169" s="119"/>
      <c r="E169" s="116"/>
      <c r="F169" s="116"/>
    </row>
    <row r="170" spans="1:6" x14ac:dyDescent="0.2">
      <c r="A170" s="116"/>
      <c r="B170" s="117"/>
      <c r="C170" s="118"/>
      <c r="D170" s="119"/>
      <c r="E170" s="116"/>
      <c r="F170" s="116"/>
    </row>
    <row r="171" spans="1:6" x14ac:dyDescent="0.2">
      <c r="A171" s="116"/>
      <c r="B171" s="117"/>
      <c r="C171" s="118"/>
      <c r="D171" s="119"/>
      <c r="E171" s="116"/>
      <c r="F171" s="116"/>
    </row>
    <row r="172" spans="1:6" x14ac:dyDescent="0.2">
      <c r="A172" s="116"/>
      <c r="B172" s="117"/>
      <c r="C172" s="118"/>
      <c r="D172" s="119"/>
      <c r="E172" s="116"/>
      <c r="F172" s="116"/>
    </row>
    <row r="173" spans="1:6" x14ac:dyDescent="0.2">
      <c r="A173" s="116"/>
      <c r="B173" s="117"/>
      <c r="C173" s="118"/>
      <c r="D173" s="119"/>
      <c r="E173" s="116"/>
      <c r="F173" s="116"/>
    </row>
    <row r="174" spans="1:6" x14ac:dyDescent="0.2">
      <c r="A174" s="116"/>
      <c r="B174" s="117"/>
      <c r="C174" s="118"/>
      <c r="D174" s="119"/>
      <c r="E174" s="116"/>
      <c r="F174" s="116"/>
    </row>
    <row r="175" spans="1:6" x14ac:dyDescent="0.2">
      <c r="A175" s="116"/>
      <c r="B175" s="117"/>
      <c r="C175" s="118"/>
      <c r="D175" s="119"/>
      <c r="E175" s="116"/>
      <c r="F175" s="116"/>
    </row>
    <row r="176" spans="1:6" x14ac:dyDescent="0.2">
      <c r="A176" s="116"/>
      <c r="B176" s="117"/>
      <c r="C176" s="118"/>
      <c r="D176" s="119"/>
      <c r="E176" s="116"/>
      <c r="F176" s="116"/>
    </row>
    <row r="177" spans="1:6" x14ac:dyDescent="0.2">
      <c r="A177" s="116"/>
      <c r="B177" s="117"/>
      <c r="C177" s="118"/>
      <c r="D177" s="119"/>
      <c r="E177" s="116"/>
      <c r="F177" s="116"/>
    </row>
    <row r="178" spans="1:6" x14ac:dyDescent="0.2">
      <c r="A178" s="116"/>
      <c r="B178" s="117"/>
      <c r="C178" s="118"/>
      <c r="D178" s="119"/>
      <c r="E178" s="116"/>
      <c r="F178" s="116"/>
    </row>
    <row r="179" spans="1:6" x14ac:dyDescent="0.2">
      <c r="A179" s="116"/>
      <c r="B179" s="117"/>
      <c r="C179" s="118"/>
      <c r="D179" s="119"/>
      <c r="E179" s="116"/>
      <c r="F179" s="116"/>
    </row>
    <row r="180" spans="1:6" x14ac:dyDescent="0.2">
      <c r="A180" s="116"/>
      <c r="B180" s="117"/>
      <c r="C180" s="118"/>
      <c r="D180" s="119"/>
      <c r="E180" s="116"/>
      <c r="F180" s="116"/>
    </row>
    <row r="181" spans="1:6" x14ac:dyDescent="0.2">
      <c r="A181" s="116"/>
      <c r="B181" s="117"/>
      <c r="C181" s="118"/>
      <c r="D181" s="119"/>
      <c r="E181" s="116"/>
      <c r="F181" s="116"/>
    </row>
    <row r="182" spans="1:6" x14ac:dyDescent="0.2">
      <c r="A182" s="116"/>
      <c r="B182" s="117"/>
      <c r="C182" s="118"/>
      <c r="D182" s="119"/>
      <c r="E182" s="116"/>
      <c r="F182" s="116"/>
    </row>
    <row r="183" spans="1:6" x14ac:dyDescent="0.2">
      <c r="A183" s="116"/>
      <c r="B183" s="117"/>
      <c r="C183" s="118"/>
      <c r="D183" s="119"/>
      <c r="E183" s="116"/>
      <c r="F183" s="116"/>
    </row>
    <row r="184" spans="1:6" x14ac:dyDescent="0.2">
      <c r="A184" s="116"/>
      <c r="B184" s="117"/>
      <c r="C184" s="118"/>
      <c r="D184" s="119"/>
      <c r="E184" s="116"/>
      <c r="F184" s="116"/>
    </row>
    <row r="185" spans="1:6" x14ac:dyDescent="0.2">
      <c r="A185" s="116"/>
      <c r="B185" s="117"/>
      <c r="C185" s="118"/>
      <c r="D185" s="119"/>
      <c r="E185" s="116"/>
      <c r="F185" s="116"/>
    </row>
    <row r="186" spans="1:6" x14ac:dyDescent="0.2">
      <c r="A186" s="116"/>
      <c r="B186" s="117"/>
      <c r="C186" s="118"/>
      <c r="D186" s="119"/>
      <c r="E186" s="116"/>
      <c r="F186" s="116"/>
    </row>
    <row r="187" spans="1:6" x14ac:dyDescent="0.2">
      <c r="A187" s="116"/>
      <c r="B187" s="117"/>
      <c r="C187" s="118"/>
      <c r="D187" s="119"/>
      <c r="E187" s="116"/>
      <c r="F187" s="116"/>
    </row>
    <row r="188" spans="1:6" x14ac:dyDescent="0.2">
      <c r="A188" s="116"/>
      <c r="B188" s="117"/>
      <c r="C188" s="118"/>
      <c r="D188" s="119"/>
      <c r="E188" s="116"/>
      <c r="F188" s="116"/>
    </row>
    <row r="189" spans="1:6" x14ac:dyDescent="0.2">
      <c r="A189" s="116"/>
      <c r="B189" s="117"/>
      <c r="C189" s="118"/>
      <c r="D189" s="119"/>
      <c r="E189" s="116"/>
      <c r="F189" s="116"/>
    </row>
    <row r="190" spans="1:6" x14ac:dyDescent="0.2">
      <c r="A190" s="116"/>
      <c r="B190" s="117"/>
      <c r="C190" s="118"/>
      <c r="D190" s="119"/>
      <c r="E190" s="116"/>
      <c r="F190" s="116"/>
    </row>
    <row r="191" spans="1:6" x14ac:dyDescent="0.2">
      <c r="A191" s="116"/>
      <c r="B191" s="117"/>
      <c r="C191" s="118"/>
      <c r="D191" s="119"/>
      <c r="E191" s="116"/>
      <c r="F191" s="116"/>
    </row>
    <row r="192" spans="1:6" x14ac:dyDescent="0.2">
      <c r="A192" s="116"/>
      <c r="B192" s="117"/>
      <c r="C192" s="118"/>
      <c r="D192" s="119"/>
      <c r="E192" s="116"/>
      <c r="F192" s="116"/>
    </row>
    <row r="193" spans="1:6" x14ac:dyDescent="0.2">
      <c r="A193" s="116"/>
      <c r="B193" s="117"/>
      <c r="C193" s="118"/>
      <c r="D193" s="119"/>
      <c r="E193" s="116"/>
      <c r="F193" s="116"/>
    </row>
    <row r="194" spans="1:6" x14ac:dyDescent="0.2">
      <c r="A194" s="116"/>
      <c r="B194" s="117"/>
      <c r="C194" s="118"/>
      <c r="D194" s="119"/>
      <c r="E194" s="116"/>
      <c r="F194" s="116"/>
    </row>
    <row r="195" spans="1:6" x14ac:dyDescent="0.2">
      <c r="A195" s="116"/>
      <c r="B195" s="117"/>
      <c r="C195" s="118"/>
      <c r="D195" s="119"/>
      <c r="E195" s="116"/>
      <c r="F195" s="116"/>
    </row>
    <row r="196" spans="1:6" x14ac:dyDescent="0.2">
      <c r="A196" s="116"/>
      <c r="B196" s="117"/>
      <c r="C196" s="118"/>
      <c r="D196" s="119"/>
      <c r="E196" s="116"/>
      <c r="F196" s="116"/>
    </row>
    <row r="197" spans="1:6" x14ac:dyDescent="0.2">
      <c r="A197" s="116"/>
      <c r="B197" s="117"/>
      <c r="C197" s="118"/>
      <c r="D197" s="119"/>
      <c r="E197" s="116"/>
      <c r="F197" s="116"/>
    </row>
    <row r="198" spans="1:6" x14ac:dyDescent="0.2">
      <c r="A198" s="116"/>
      <c r="B198" s="117"/>
      <c r="C198" s="118"/>
      <c r="D198" s="119"/>
      <c r="E198" s="116"/>
      <c r="F198" s="116"/>
    </row>
    <row r="199" spans="1:6" x14ac:dyDescent="0.2">
      <c r="A199" s="116"/>
      <c r="B199" s="117"/>
      <c r="C199" s="118"/>
      <c r="D199" s="119"/>
      <c r="E199" s="116"/>
      <c r="F199" s="116"/>
    </row>
    <row r="200" spans="1:6" x14ac:dyDescent="0.2">
      <c r="A200" s="116"/>
      <c r="B200" s="117"/>
      <c r="C200" s="118"/>
      <c r="D200" s="119"/>
      <c r="E200" s="116"/>
      <c r="F200" s="116"/>
    </row>
    <row r="201" spans="1:6" x14ac:dyDescent="0.2">
      <c r="A201" s="116"/>
      <c r="B201" s="117"/>
      <c r="C201" s="118"/>
      <c r="D201" s="119"/>
      <c r="E201" s="116"/>
      <c r="F201" s="116"/>
    </row>
    <row r="202" spans="1:6" x14ac:dyDescent="0.2">
      <c r="A202" s="116"/>
      <c r="B202" s="117"/>
      <c r="C202" s="118"/>
      <c r="D202" s="119"/>
      <c r="E202" s="116"/>
      <c r="F202" s="116"/>
    </row>
    <row r="203" spans="1:6" x14ac:dyDescent="0.2">
      <c r="A203" s="116"/>
      <c r="B203" s="117"/>
      <c r="C203" s="118"/>
      <c r="D203" s="119"/>
      <c r="E203" s="116"/>
      <c r="F203" s="116"/>
    </row>
    <row r="204" spans="1:6" x14ac:dyDescent="0.2">
      <c r="A204" s="116"/>
      <c r="B204" s="117"/>
      <c r="C204" s="118"/>
      <c r="D204" s="119"/>
      <c r="E204" s="116"/>
      <c r="F204" s="116"/>
    </row>
    <row r="205" spans="1:6" x14ac:dyDescent="0.2">
      <c r="A205" s="116"/>
      <c r="B205" s="117"/>
      <c r="C205" s="118"/>
      <c r="D205" s="119"/>
      <c r="E205" s="116"/>
      <c r="F205" s="116"/>
    </row>
    <row r="206" spans="1:6" x14ac:dyDescent="0.2">
      <c r="A206" s="116"/>
      <c r="B206" s="117"/>
      <c r="C206" s="118"/>
      <c r="D206" s="119"/>
      <c r="E206" s="116"/>
      <c r="F206" s="116"/>
    </row>
    <row r="207" spans="1:6" x14ac:dyDescent="0.2">
      <c r="A207" s="116"/>
      <c r="B207" s="117"/>
      <c r="C207" s="118"/>
      <c r="D207" s="119"/>
      <c r="E207" s="116"/>
      <c r="F207" s="116"/>
    </row>
    <row r="208" spans="1:6" x14ac:dyDescent="0.2">
      <c r="A208" s="116"/>
      <c r="B208" s="117"/>
      <c r="C208" s="118"/>
      <c r="D208" s="119"/>
      <c r="E208" s="116"/>
      <c r="F208" s="116"/>
    </row>
    <row r="209" spans="1:6" x14ac:dyDescent="0.2">
      <c r="A209" s="116"/>
      <c r="B209" s="117"/>
      <c r="C209" s="118"/>
      <c r="D209" s="119"/>
      <c r="E209" s="116"/>
      <c r="F209" s="116"/>
    </row>
    <row r="210" spans="1:6" x14ac:dyDescent="0.2">
      <c r="A210" s="116"/>
      <c r="B210" s="117"/>
      <c r="C210" s="118"/>
      <c r="D210" s="119"/>
      <c r="E210" s="116"/>
      <c r="F210" s="116"/>
    </row>
    <row r="211" spans="1:6" x14ac:dyDescent="0.2">
      <c r="A211" s="116"/>
      <c r="B211" s="117"/>
      <c r="C211" s="118"/>
      <c r="D211" s="119"/>
      <c r="E211" s="116"/>
      <c r="F211" s="116"/>
    </row>
    <row r="212" spans="1:6" x14ac:dyDescent="0.2">
      <c r="A212" s="116"/>
      <c r="B212" s="117"/>
      <c r="C212" s="118"/>
      <c r="D212" s="119"/>
      <c r="E212" s="116"/>
      <c r="F212" s="116"/>
    </row>
    <row r="213" spans="1:6" x14ac:dyDescent="0.2">
      <c r="A213" s="116"/>
      <c r="B213" s="117"/>
      <c r="C213" s="118"/>
      <c r="D213" s="119"/>
      <c r="E213" s="116"/>
      <c r="F213" s="116"/>
    </row>
    <row r="214" spans="1:6" x14ac:dyDescent="0.2">
      <c r="A214" s="116"/>
      <c r="B214" s="117"/>
      <c r="C214" s="118"/>
      <c r="D214" s="119"/>
      <c r="E214" s="116"/>
      <c r="F214" s="116"/>
    </row>
    <row r="215" spans="1:6" x14ac:dyDescent="0.2">
      <c r="A215" s="116"/>
      <c r="B215" s="117"/>
      <c r="C215" s="118"/>
      <c r="D215" s="119"/>
      <c r="E215" s="116"/>
      <c r="F215" s="116"/>
    </row>
    <row r="216" spans="1:6" x14ac:dyDescent="0.2">
      <c r="A216" s="116"/>
      <c r="B216" s="117"/>
      <c r="C216" s="118"/>
      <c r="D216" s="119"/>
      <c r="E216" s="116"/>
      <c r="F216" s="116"/>
    </row>
    <row r="217" spans="1:6" x14ac:dyDescent="0.2">
      <c r="A217" s="116"/>
      <c r="B217" s="117"/>
      <c r="C217" s="118"/>
      <c r="D217" s="119"/>
      <c r="E217" s="116"/>
      <c r="F217" s="116"/>
    </row>
    <row r="218" spans="1:6" x14ac:dyDescent="0.2">
      <c r="A218" s="116"/>
      <c r="B218" s="117"/>
      <c r="C218" s="118"/>
      <c r="D218" s="119"/>
      <c r="E218" s="116"/>
      <c r="F218" s="116"/>
    </row>
    <row r="219" spans="1:6" x14ac:dyDescent="0.2">
      <c r="A219" s="116"/>
      <c r="B219" s="117"/>
      <c r="C219" s="118"/>
      <c r="D219" s="119"/>
      <c r="E219" s="116"/>
      <c r="F219" s="116"/>
    </row>
    <row r="220" spans="1:6" x14ac:dyDescent="0.2">
      <c r="A220" s="116"/>
      <c r="B220" s="117"/>
      <c r="C220" s="118"/>
      <c r="D220" s="119"/>
      <c r="E220" s="116"/>
      <c r="F220" s="116"/>
    </row>
    <row r="221" spans="1:6" x14ac:dyDescent="0.2">
      <c r="A221" s="116"/>
      <c r="B221" s="117"/>
      <c r="C221" s="118"/>
      <c r="D221" s="119"/>
      <c r="E221" s="116"/>
      <c r="F221" s="116"/>
    </row>
    <row r="222" spans="1:6" x14ac:dyDescent="0.2">
      <c r="A222" s="116"/>
      <c r="B222" s="117"/>
      <c r="C222" s="118"/>
      <c r="D222" s="119"/>
      <c r="E222" s="116"/>
      <c r="F222" s="116"/>
    </row>
    <row r="223" spans="1:6" x14ac:dyDescent="0.2">
      <c r="A223" s="116"/>
      <c r="B223" s="117"/>
      <c r="C223" s="118"/>
      <c r="D223" s="119"/>
      <c r="E223" s="116"/>
      <c r="F223" s="116"/>
    </row>
    <row r="224" spans="1:6" x14ac:dyDescent="0.2">
      <c r="A224" s="116"/>
      <c r="B224" s="117"/>
      <c r="C224" s="118"/>
      <c r="D224" s="119"/>
      <c r="E224" s="116"/>
      <c r="F224" s="116"/>
    </row>
    <row r="225" spans="1:6" x14ac:dyDescent="0.2">
      <c r="A225" s="116"/>
      <c r="B225" s="117"/>
      <c r="C225" s="118"/>
      <c r="D225" s="119"/>
      <c r="E225" s="116"/>
      <c r="F225" s="116"/>
    </row>
    <row r="226" spans="1:6" x14ac:dyDescent="0.2">
      <c r="A226" s="116"/>
      <c r="B226" s="117"/>
      <c r="C226" s="118"/>
      <c r="D226" s="119"/>
      <c r="E226" s="116"/>
      <c r="F226" s="116"/>
    </row>
    <row r="227" spans="1:6" x14ac:dyDescent="0.2">
      <c r="A227" s="116"/>
      <c r="B227" s="117"/>
      <c r="C227" s="118"/>
      <c r="D227" s="119"/>
      <c r="E227" s="116"/>
      <c r="F227" s="116"/>
    </row>
    <row r="228" spans="1:6" x14ac:dyDescent="0.2">
      <c r="A228" s="116"/>
      <c r="B228" s="117"/>
      <c r="C228" s="118"/>
      <c r="D228" s="119"/>
      <c r="E228" s="116"/>
      <c r="F228" s="116"/>
    </row>
    <row r="229" spans="1:6" x14ac:dyDescent="0.2">
      <c r="A229" s="116"/>
      <c r="B229" s="117"/>
      <c r="C229" s="118"/>
      <c r="D229" s="119"/>
      <c r="E229" s="116"/>
      <c r="F229" s="116"/>
    </row>
    <row r="230" spans="1:6" x14ac:dyDescent="0.2">
      <c r="A230" s="116"/>
      <c r="B230" s="117"/>
      <c r="C230" s="118"/>
      <c r="D230" s="119"/>
      <c r="E230" s="116"/>
      <c r="F230" s="116"/>
    </row>
    <row r="231" spans="1:6" x14ac:dyDescent="0.2">
      <c r="A231" s="116"/>
      <c r="B231" s="117"/>
      <c r="C231" s="118"/>
      <c r="D231" s="119"/>
      <c r="E231" s="116"/>
      <c r="F231" s="116"/>
    </row>
    <row r="232" spans="1:6" x14ac:dyDescent="0.2">
      <c r="A232" s="116"/>
      <c r="B232" s="117"/>
      <c r="C232" s="118"/>
      <c r="D232" s="119"/>
      <c r="E232" s="116"/>
      <c r="F232" s="116"/>
    </row>
    <row r="233" spans="1:6" x14ac:dyDescent="0.2">
      <c r="A233" s="116"/>
      <c r="B233" s="117"/>
      <c r="C233" s="118"/>
      <c r="D233" s="119"/>
      <c r="E233" s="116"/>
      <c r="F233" s="116"/>
    </row>
    <row r="234" spans="1:6" x14ac:dyDescent="0.2">
      <c r="A234" s="116"/>
      <c r="B234" s="117"/>
      <c r="C234" s="118"/>
      <c r="D234" s="119"/>
      <c r="E234" s="116"/>
      <c r="F234" s="116"/>
    </row>
    <row r="235" spans="1:6" x14ac:dyDescent="0.2">
      <c r="A235" s="116"/>
      <c r="B235" s="117"/>
      <c r="C235" s="118"/>
      <c r="D235" s="119"/>
      <c r="E235" s="116"/>
      <c r="F235" s="116"/>
    </row>
    <row r="236" spans="1:6" x14ac:dyDescent="0.2">
      <c r="A236" s="116"/>
      <c r="B236" s="117"/>
      <c r="C236" s="118"/>
      <c r="D236" s="119"/>
      <c r="E236" s="116"/>
      <c r="F236" s="116"/>
    </row>
    <row r="237" spans="1:6" x14ac:dyDescent="0.2">
      <c r="A237" s="116"/>
      <c r="B237" s="117"/>
      <c r="C237" s="118"/>
      <c r="D237" s="119"/>
      <c r="E237" s="116"/>
      <c r="F237" s="116"/>
    </row>
    <row r="238" spans="1:6" x14ac:dyDescent="0.2">
      <c r="A238" s="116"/>
      <c r="B238" s="117"/>
      <c r="C238" s="118"/>
      <c r="D238" s="119"/>
      <c r="E238" s="116"/>
      <c r="F238" s="116"/>
    </row>
    <row r="239" spans="1:6" x14ac:dyDescent="0.2">
      <c r="A239" s="116"/>
      <c r="B239" s="117"/>
      <c r="C239" s="118"/>
      <c r="D239" s="119"/>
      <c r="E239" s="116"/>
      <c r="F239" s="116"/>
    </row>
    <row r="240" spans="1:6" x14ac:dyDescent="0.2">
      <c r="A240" s="116"/>
      <c r="B240" s="117"/>
      <c r="C240" s="118"/>
      <c r="D240" s="119"/>
      <c r="E240" s="116"/>
      <c r="F240" s="116"/>
    </row>
    <row r="241" spans="1:6" x14ac:dyDescent="0.2">
      <c r="A241" s="116"/>
      <c r="B241" s="117"/>
      <c r="C241" s="118"/>
      <c r="D241" s="119"/>
      <c r="E241" s="116"/>
      <c r="F241" s="116"/>
    </row>
    <row r="242" spans="1:6" x14ac:dyDescent="0.2">
      <c r="A242" s="116"/>
      <c r="B242" s="117"/>
      <c r="C242" s="118"/>
      <c r="D242" s="119"/>
      <c r="E242" s="116"/>
      <c r="F242" s="116"/>
    </row>
    <row r="243" spans="1:6" x14ac:dyDescent="0.2">
      <c r="A243" s="116"/>
      <c r="B243" s="117"/>
      <c r="C243" s="118"/>
      <c r="D243" s="119"/>
      <c r="E243" s="116"/>
      <c r="F243" s="116"/>
    </row>
    <row r="244" spans="1:6" x14ac:dyDescent="0.2">
      <c r="A244" s="116"/>
      <c r="B244" s="117"/>
      <c r="C244" s="118"/>
      <c r="D244" s="119"/>
      <c r="E244" s="116"/>
      <c r="F244" s="116"/>
    </row>
    <row r="245" spans="1:6" x14ac:dyDescent="0.2">
      <c r="A245" s="116"/>
      <c r="B245" s="117"/>
      <c r="C245" s="118"/>
      <c r="D245" s="119"/>
      <c r="E245" s="116"/>
      <c r="F245" s="116"/>
    </row>
    <row r="246" spans="1:6" x14ac:dyDescent="0.2">
      <c r="A246" s="116"/>
      <c r="B246" s="117"/>
      <c r="C246" s="118"/>
      <c r="D246" s="119"/>
      <c r="E246" s="116"/>
      <c r="F246" s="116"/>
    </row>
    <row r="247" spans="1:6" x14ac:dyDescent="0.2">
      <c r="A247" s="116"/>
      <c r="B247" s="117"/>
      <c r="C247" s="118"/>
      <c r="D247" s="119"/>
      <c r="E247" s="116"/>
      <c r="F247" s="116"/>
    </row>
    <row r="248" spans="1:6" x14ac:dyDescent="0.2">
      <c r="A248" s="116"/>
      <c r="B248" s="117"/>
      <c r="C248" s="118"/>
      <c r="D248" s="119"/>
      <c r="E248" s="116"/>
      <c r="F248" s="116"/>
    </row>
    <row r="249" spans="1:6" x14ac:dyDescent="0.2">
      <c r="A249" s="116"/>
      <c r="B249" s="117"/>
      <c r="C249" s="118"/>
      <c r="D249" s="119"/>
      <c r="E249" s="116"/>
      <c r="F249" s="116"/>
    </row>
    <row r="250" spans="1:6" x14ac:dyDescent="0.2">
      <c r="A250" s="116"/>
      <c r="B250" s="117"/>
      <c r="C250" s="118"/>
      <c r="D250" s="119"/>
      <c r="E250" s="116"/>
      <c r="F250" s="116"/>
    </row>
    <row r="251" spans="1:6" x14ac:dyDescent="0.2">
      <c r="A251" s="116"/>
      <c r="B251" s="117"/>
      <c r="C251" s="118"/>
      <c r="D251" s="119"/>
      <c r="E251" s="116"/>
      <c r="F251" s="116"/>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workbookViewId="0"/>
  </sheetViews>
  <sheetFormatPr defaultRowHeight="12.75" x14ac:dyDescent="0.2"/>
  <cols>
    <col min="1" max="1" width="2.7109375" style="99" customWidth="1"/>
    <col min="2" max="2" width="12.42578125" style="108" customWidth="1"/>
    <col min="3" max="3" width="50.7109375" style="108" customWidth="1"/>
    <col min="4" max="5" width="25.7109375" style="108" customWidth="1"/>
    <col min="6" max="6" width="0.85546875" style="99" customWidth="1"/>
    <col min="7" max="7" width="2.7109375" style="99" customWidth="1"/>
    <col min="8" max="16384" width="9.140625" style="99"/>
  </cols>
  <sheetData>
    <row r="1" spans="1:7" x14ac:dyDescent="0.2">
      <c r="A1" s="213" t="s">
        <v>156</v>
      </c>
      <c r="B1" s="92" t="s">
        <v>9</v>
      </c>
      <c r="C1" s="92"/>
      <c r="D1" s="92"/>
      <c r="E1" s="92"/>
      <c r="F1" s="91"/>
      <c r="G1" s="91"/>
    </row>
    <row r="2" spans="1:7" ht="6" customHeight="1" x14ac:dyDescent="0.2">
      <c r="A2" s="91"/>
      <c r="B2" s="92"/>
      <c r="C2" s="92"/>
      <c r="D2" s="92"/>
      <c r="E2" s="92"/>
      <c r="F2" s="91"/>
      <c r="G2" s="91"/>
    </row>
    <row r="3" spans="1:7" x14ac:dyDescent="0.2">
      <c r="A3" s="91"/>
      <c r="B3" s="92" t="s">
        <v>6</v>
      </c>
      <c r="C3" s="369" t="s">
        <v>1</v>
      </c>
      <c r="D3" s="369"/>
      <c r="E3" s="369"/>
      <c r="F3" s="91"/>
      <c r="G3" s="91"/>
    </row>
    <row r="4" spans="1:7" ht="6" customHeight="1" x14ac:dyDescent="0.2">
      <c r="A4" s="91"/>
      <c r="B4" s="92"/>
      <c r="C4" s="92"/>
      <c r="D4" s="92"/>
      <c r="E4" s="92"/>
      <c r="F4" s="91"/>
      <c r="G4" s="91"/>
    </row>
    <row r="5" spans="1:7" ht="27" customHeight="1" x14ac:dyDescent="0.2">
      <c r="A5" s="91"/>
      <c r="B5" s="92" t="s">
        <v>7</v>
      </c>
      <c r="C5" s="370" t="s">
        <v>2</v>
      </c>
      <c r="D5" s="369"/>
      <c r="E5" s="369"/>
      <c r="F5" s="91"/>
      <c r="G5" s="91"/>
    </row>
    <row r="6" spans="1:7" x14ac:dyDescent="0.2">
      <c r="A6" s="91"/>
      <c r="B6" s="92"/>
      <c r="C6" s="92"/>
      <c r="D6" s="92"/>
      <c r="E6" s="92"/>
      <c r="F6" s="91"/>
      <c r="G6" s="91"/>
    </row>
    <row r="7" spans="1:7" x14ac:dyDescent="0.2">
      <c r="A7" s="95"/>
      <c r="B7" s="96" t="s">
        <v>4</v>
      </c>
      <c r="C7" s="96"/>
      <c r="D7" s="96"/>
      <c r="E7" s="96"/>
      <c r="F7" s="95"/>
      <c r="G7" s="95"/>
    </row>
    <row r="8" spans="1:7" ht="6" customHeight="1" x14ac:dyDescent="0.2">
      <c r="A8" s="95"/>
      <c r="B8" s="96"/>
      <c r="C8" s="96"/>
      <c r="D8" s="96"/>
      <c r="E8" s="96"/>
      <c r="F8" s="95"/>
      <c r="G8" s="95"/>
    </row>
    <row r="9" spans="1:7" x14ac:dyDescent="0.2">
      <c r="A9" s="95"/>
      <c r="B9" s="96" t="s">
        <v>6</v>
      </c>
      <c r="C9" s="369" t="s">
        <v>1</v>
      </c>
      <c r="D9" s="369"/>
      <c r="E9" s="369"/>
      <c r="F9" s="95"/>
      <c r="G9" s="95"/>
    </row>
    <row r="10" spans="1:7" ht="6" customHeight="1" x14ac:dyDescent="0.2">
      <c r="A10" s="95"/>
      <c r="B10" s="96"/>
      <c r="C10" s="96"/>
      <c r="D10" s="96"/>
      <c r="E10" s="96"/>
      <c r="F10" s="95"/>
      <c r="G10" s="95"/>
    </row>
    <row r="11" spans="1:7" ht="26.25" customHeight="1" x14ac:dyDescent="0.2">
      <c r="A11" s="95"/>
      <c r="B11" s="96" t="s">
        <v>7</v>
      </c>
      <c r="C11" s="370" t="s">
        <v>2</v>
      </c>
      <c r="D11" s="369"/>
      <c r="E11" s="369"/>
      <c r="F11" s="95"/>
      <c r="G11" s="95"/>
    </row>
    <row r="12" spans="1:7" x14ac:dyDescent="0.2">
      <c r="A12" s="95"/>
      <c r="B12" s="96"/>
      <c r="C12" s="96"/>
      <c r="D12" s="96"/>
      <c r="E12" s="96"/>
      <c r="F12" s="95"/>
      <c r="G12" s="95"/>
    </row>
    <row r="13" spans="1:7" x14ac:dyDescent="0.2">
      <c r="A13" s="97"/>
      <c r="B13" s="98" t="s">
        <v>5</v>
      </c>
      <c r="C13" s="98"/>
      <c r="D13" s="98"/>
      <c r="E13" s="98"/>
      <c r="F13" s="97"/>
      <c r="G13" s="97"/>
    </row>
    <row r="14" spans="1:7" ht="6" customHeight="1" x14ac:dyDescent="0.2">
      <c r="A14" s="97"/>
      <c r="B14" s="98"/>
      <c r="C14" s="98"/>
      <c r="D14" s="98"/>
      <c r="E14" s="98"/>
      <c r="F14" s="97"/>
      <c r="G14" s="97"/>
    </row>
    <row r="15" spans="1:7" x14ac:dyDescent="0.2">
      <c r="A15" s="97"/>
      <c r="B15" s="98" t="s">
        <v>6</v>
      </c>
      <c r="C15" s="369" t="s">
        <v>132</v>
      </c>
      <c r="D15" s="369"/>
      <c r="E15" s="369"/>
      <c r="F15" s="97"/>
      <c r="G15" s="97"/>
    </row>
    <row r="16" spans="1:7" x14ac:dyDescent="0.2">
      <c r="A16" s="97"/>
      <c r="B16" s="98"/>
      <c r="C16" s="98"/>
      <c r="D16" s="98"/>
      <c r="E16" s="98"/>
      <c r="F16" s="97"/>
      <c r="G16" s="97"/>
    </row>
    <row r="17" spans="1:7" x14ac:dyDescent="0.2">
      <c r="A17" s="215"/>
      <c r="B17" s="217" t="s">
        <v>162</v>
      </c>
      <c r="C17" s="216"/>
      <c r="D17" s="216"/>
      <c r="E17" s="216"/>
      <c r="F17" s="215"/>
      <c r="G17" s="215"/>
    </row>
    <row r="18" spans="1:7" ht="6" customHeight="1" x14ac:dyDescent="0.2">
      <c r="A18" s="215"/>
      <c r="B18" s="216"/>
      <c r="C18" s="216"/>
      <c r="D18" s="216"/>
      <c r="E18" s="216"/>
      <c r="F18" s="215"/>
      <c r="G18" s="215"/>
    </row>
    <row r="19" spans="1:7" x14ac:dyDescent="0.2">
      <c r="A19" s="215"/>
      <c r="B19" s="218" t="s">
        <v>163</v>
      </c>
      <c r="C19" s="366" t="s">
        <v>164</v>
      </c>
      <c r="D19" s="367"/>
      <c r="E19" s="367"/>
      <c r="F19" s="215"/>
      <c r="G19" s="215"/>
    </row>
    <row r="20" spans="1:7" x14ac:dyDescent="0.2">
      <c r="A20" s="215"/>
      <c r="B20" s="216"/>
      <c r="C20" s="216"/>
      <c r="D20" s="216"/>
      <c r="E20" s="216"/>
      <c r="F20" s="215"/>
      <c r="G20" s="215"/>
    </row>
    <row r="21" spans="1:7" x14ac:dyDescent="0.2">
      <c r="A21" s="93"/>
      <c r="B21" s="94" t="s">
        <v>3</v>
      </c>
      <c r="C21" s="94"/>
      <c r="D21" s="94"/>
      <c r="E21" s="94"/>
      <c r="F21" s="93"/>
      <c r="G21" s="93"/>
    </row>
    <row r="22" spans="1:7" ht="6" customHeight="1" x14ac:dyDescent="0.2">
      <c r="A22" s="93"/>
      <c r="B22" s="94"/>
      <c r="C22" s="94"/>
      <c r="D22" s="94"/>
      <c r="E22" s="94"/>
      <c r="F22" s="93"/>
      <c r="G22" s="93"/>
    </row>
    <row r="23" spans="1:7" x14ac:dyDescent="0.2">
      <c r="A23" s="93"/>
      <c r="B23" s="94" t="s">
        <v>157</v>
      </c>
      <c r="C23" s="109"/>
      <c r="D23" s="94"/>
      <c r="E23" s="94"/>
      <c r="F23" s="93"/>
      <c r="G23" s="93"/>
    </row>
    <row r="24" spans="1:7" ht="6" customHeight="1" x14ac:dyDescent="0.2">
      <c r="A24" s="93"/>
      <c r="B24" s="94"/>
      <c r="C24" s="94"/>
      <c r="D24" s="94"/>
      <c r="E24" s="94"/>
      <c r="F24" s="93"/>
      <c r="G24" s="93"/>
    </row>
    <row r="25" spans="1:7" ht="6" customHeight="1" x14ac:dyDescent="0.2">
      <c r="A25" s="93"/>
      <c r="B25" s="107"/>
      <c r="C25" s="111"/>
      <c r="D25" s="111"/>
      <c r="E25" s="111"/>
      <c r="F25" s="105"/>
      <c r="G25" s="93"/>
    </row>
    <row r="26" spans="1:7" x14ac:dyDescent="0.2">
      <c r="A26" s="93"/>
      <c r="B26" s="101" t="s">
        <v>8</v>
      </c>
      <c r="C26" s="110" t="s">
        <v>82</v>
      </c>
      <c r="D26" s="214" t="s">
        <v>158</v>
      </c>
      <c r="E26" s="110"/>
      <c r="F26" s="100"/>
      <c r="G26" s="93"/>
    </row>
    <row r="27" spans="1:7" ht="6" customHeight="1" x14ac:dyDescent="0.2">
      <c r="A27" s="93"/>
      <c r="B27" s="101"/>
      <c r="C27" s="103"/>
      <c r="D27" s="103"/>
      <c r="E27" s="103"/>
      <c r="F27" s="100"/>
      <c r="G27" s="93"/>
    </row>
    <row r="28" spans="1:7" x14ac:dyDescent="0.2">
      <c r="A28" s="93"/>
      <c r="B28" s="101" t="s">
        <v>6</v>
      </c>
      <c r="C28" s="365" t="s">
        <v>159</v>
      </c>
      <c r="D28" s="365"/>
      <c r="E28" s="365"/>
      <c r="F28" s="100"/>
      <c r="G28" s="93"/>
    </row>
    <row r="29" spans="1:7" ht="6" customHeight="1" x14ac:dyDescent="0.2">
      <c r="A29" s="93"/>
      <c r="B29" s="101"/>
      <c r="C29" s="103"/>
      <c r="D29" s="103"/>
      <c r="E29" s="103"/>
      <c r="F29" s="100"/>
      <c r="G29" s="93"/>
    </row>
    <row r="30" spans="1:7" ht="27" customHeight="1" x14ac:dyDescent="0.2">
      <c r="A30" s="93"/>
      <c r="B30" s="101" t="s">
        <v>7</v>
      </c>
      <c r="C30" s="368" t="s">
        <v>160</v>
      </c>
      <c r="D30" s="365"/>
      <c r="E30" s="365"/>
      <c r="F30" s="100"/>
      <c r="G30" s="93"/>
    </row>
    <row r="31" spans="1:7" ht="6" customHeight="1" x14ac:dyDescent="0.2">
      <c r="A31" s="93"/>
      <c r="B31" s="101"/>
      <c r="C31" s="103"/>
      <c r="D31" s="103"/>
      <c r="E31" s="103"/>
      <c r="F31" s="100"/>
      <c r="G31" s="93"/>
    </row>
    <row r="32" spans="1:7" x14ac:dyDescent="0.2">
      <c r="A32" s="93"/>
      <c r="B32" s="101" t="s">
        <v>105</v>
      </c>
      <c r="C32" s="365" t="s">
        <v>161</v>
      </c>
      <c r="D32" s="365"/>
      <c r="E32" s="365"/>
      <c r="F32" s="100"/>
      <c r="G32" s="93"/>
    </row>
    <row r="33" spans="1:7" ht="6" customHeight="1" x14ac:dyDescent="0.2">
      <c r="A33" s="93"/>
      <c r="B33" s="102"/>
      <c r="C33" s="104"/>
      <c r="D33" s="104"/>
      <c r="E33" s="104"/>
      <c r="F33" s="106"/>
      <c r="G33" s="93"/>
    </row>
    <row r="34" spans="1:7" ht="6" customHeight="1" x14ac:dyDescent="0.2">
      <c r="A34" s="93"/>
      <c r="B34" s="94"/>
      <c r="C34" s="94"/>
      <c r="D34" s="94"/>
      <c r="E34" s="94"/>
      <c r="F34" s="93"/>
      <c r="G34" s="93"/>
    </row>
    <row r="35" spans="1:7" ht="6" customHeight="1" x14ac:dyDescent="0.2">
      <c r="A35" s="93"/>
      <c r="B35" s="107"/>
      <c r="C35" s="111"/>
      <c r="D35" s="111"/>
      <c r="E35" s="111"/>
      <c r="F35" s="105"/>
      <c r="G35" s="93"/>
    </row>
    <row r="36" spans="1:7" x14ac:dyDescent="0.2">
      <c r="A36" s="93"/>
      <c r="B36" s="101" t="s">
        <v>8</v>
      </c>
      <c r="C36" s="110" t="s">
        <v>81</v>
      </c>
      <c r="D36" s="214" t="s">
        <v>158</v>
      </c>
      <c r="E36" s="110"/>
      <c r="F36" s="100"/>
      <c r="G36" s="93"/>
    </row>
    <row r="37" spans="1:7" ht="6" customHeight="1" x14ac:dyDescent="0.2">
      <c r="A37" s="93"/>
      <c r="B37" s="101"/>
      <c r="C37" s="103"/>
      <c r="D37" s="103"/>
      <c r="E37" s="103"/>
      <c r="F37" s="100"/>
      <c r="G37" s="93"/>
    </row>
    <row r="38" spans="1:7" ht="80.25" customHeight="1" x14ac:dyDescent="0.2">
      <c r="A38" s="93"/>
      <c r="B38" s="101" t="s">
        <v>6</v>
      </c>
      <c r="C38" s="368" t="s">
        <v>133</v>
      </c>
      <c r="D38" s="365"/>
      <c r="E38" s="365"/>
      <c r="F38" s="100"/>
      <c r="G38" s="93"/>
    </row>
    <row r="39" spans="1:7" ht="6" customHeight="1" x14ac:dyDescent="0.2">
      <c r="A39" s="93"/>
      <c r="B39" s="101"/>
      <c r="C39" s="103"/>
      <c r="D39" s="103"/>
      <c r="E39" s="103"/>
      <c r="F39" s="100"/>
      <c r="G39" s="93"/>
    </row>
    <row r="40" spans="1:7" x14ac:dyDescent="0.2">
      <c r="A40" s="93"/>
      <c r="B40" s="101" t="s">
        <v>7</v>
      </c>
      <c r="C40" s="365"/>
      <c r="D40" s="365"/>
      <c r="E40" s="365"/>
      <c r="F40" s="100"/>
      <c r="G40" s="93"/>
    </row>
    <row r="41" spans="1:7" ht="6" customHeight="1" x14ac:dyDescent="0.2">
      <c r="A41" s="93"/>
      <c r="B41" s="101"/>
      <c r="C41" s="103"/>
      <c r="D41" s="103"/>
      <c r="E41" s="103"/>
      <c r="F41" s="100"/>
      <c r="G41" s="93"/>
    </row>
    <row r="42" spans="1:7" ht="81" customHeight="1" x14ac:dyDescent="0.2">
      <c r="A42" s="93"/>
      <c r="B42" s="101" t="s">
        <v>105</v>
      </c>
      <c r="C42" s="368" t="s">
        <v>106</v>
      </c>
      <c r="D42" s="365"/>
      <c r="E42" s="365"/>
      <c r="F42" s="100"/>
      <c r="G42" s="93"/>
    </row>
    <row r="43" spans="1:7" ht="6" customHeight="1" x14ac:dyDescent="0.2">
      <c r="A43" s="93"/>
      <c r="B43" s="102"/>
      <c r="C43" s="104"/>
      <c r="D43" s="104"/>
      <c r="E43" s="104"/>
      <c r="F43" s="106"/>
      <c r="G43" s="93"/>
    </row>
    <row r="44" spans="1:7" ht="6" customHeight="1" x14ac:dyDescent="0.2">
      <c r="A44" s="93"/>
      <c r="B44" s="94"/>
      <c r="C44" s="94"/>
      <c r="D44" s="94"/>
      <c r="E44" s="94"/>
      <c r="F44" s="93"/>
      <c r="G44" s="93"/>
    </row>
    <row r="45" spans="1:7" ht="6" customHeight="1" x14ac:dyDescent="0.2">
      <c r="A45" s="93"/>
      <c r="B45" s="107"/>
      <c r="C45" s="111"/>
      <c r="D45" s="111"/>
      <c r="E45" s="111"/>
      <c r="F45" s="105"/>
      <c r="G45" s="93"/>
    </row>
    <row r="46" spans="1:7" x14ac:dyDescent="0.2">
      <c r="A46" s="93"/>
      <c r="B46" s="101" t="s">
        <v>8</v>
      </c>
      <c r="C46" s="110" t="s">
        <v>0</v>
      </c>
      <c r="D46" s="214" t="s">
        <v>158</v>
      </c>
      <c r="E46" s="110"/>
      <c r="F46" s="100"/>
      <c r="G46" s="93"/>
    </row>
    <row r="47" spans="1:7" ht="6" customHeight="1" x14ac:dyDescent="0.2">
      <c r="A47" s="93"/>
      <c r="B47" s="101"/>
      <c r="C47" s="103"/>
      <c r="D47" s="103"/>
      <c r="E47" s="103"/>
      <c r="F47" s="100"/>
      <c r="G47" s="93"/>
    </row>
    <row r="48" spans="1:7" ht="80.25" customHeight="1" x14ac:dyDescent="0.2">
      <c r="A48" s="93"/>
      <c r="B48" s="101" t="s">
        <v>6</v>
      </c>
      <c r="C48" s="368" t="s">
        <v>134</v>
      </c>
      <c r="D48" s="365"/>
      <c r="E48" s="365"/>
      <c r="F48" s="100"/>
      <c r="G48" s="93"/>
    </row>
    <row r="49" spans="1:7" ht="6" customHeight="1" x14ac:dyDescent="0.2">
      <c r="A49" s="93"/>
      <c r="B49" s="101"/>
      <c r="C49" s="103"/>
      <c r="D49" s="103"/>
      <c r="E49" s="103"/>
      <c r="F49" s="100"/>
      <c r="G49" s="93"/>
    </row>
    <row r="50" spans="1:7" x14ac:dyDescent="0.2">
      <c r="A50" s="93"/>
      <c r="B50" s="101" t="s">
        <v>7</v>
      </c>
      <c r="C50" s="365"/>
      <c r="D50" s="365"/>
      <c r="E50" s="365"/>
      <c r="F50" s="100"/>
      <c r="G50" s="93"/>
    </row>
    <row r="51" spans="1:7" ht="6" customHeight="1" x14ac:dyDescent="0.2">
      <c r="A51" s="93"/>
      <c r="B51" s="101"/>
      <c r="C51" s="103"/>
      <c r="D51" s="103"/>
      <c r="E51" s="103"/>
      <c r="F51" s="100"/>
      <c r="G51" s="93"/>
    </row>
    <row r="52" spans="1:7" ht="78" customHeight="1" x14ac:dyDescent="0.2">
      <c r="A52" s="93"/>
      <c r="B52" s="101" t="s">
        <v>105</v>
      </c>
      <c r="C52" s="368" t="s">
        <v>107</v>
      </c>
      <c r="D52" s="365"/>
      <c r="E52" s="365"/>
      <c r="F52" s="100"/>
      <c r="G52" s="93"/>
    </row>
    <row r="53" spans="1:7" ht="6" customHeight="1" x14ac:dyDescent="0.2">
      <c r="A53" s="93"/>
      <c r="B53" s="102"/>
      <c r="C53" s="104"/>
      <c r="D53" s="104"/>
      <c r="E53" s="104"/>
      <c r="F53" s="106"/>
      <c r="G53" s="93"/>
    </row>
    <row r="54" spans="1:7" ht="6" customHeight="1" x14ac:dyDescent="0.2">
      <c r="A54" s="93"/>
      <c r="B54" s="94"/>
      <c r="C54" s="94"/>
      <c r="D54" s="94"/>
      <c r="E54" s="94"/>
      <c r="F54" s="93"/>
      <c r="G54" s="93"/>
    </row>
  </sheetData>
  <mergeCells count="15">
    <mergeCell ref="C3:E3"/>
    <mergeCell ref="C5:E5"/>
    <mergeCell ref="C9:E9"/>
    <mergeCell ref="C11:E11"/>
    <mergeCell ref="C15:E15"/>
    <mergeCell ref="C28:E28"/>
    <mergeCell ref="C19:E19"/>
    <mergeCell ref="C50:E50"/>
    <mergeCell ref="C52:E52"/>
    <mergeCell ref="C30:E30"/>
    <mergeCell ref="C32:E32"/>
    <mergeCell ref="C38:E38"/>
    <mergeCell ref="C40:E40"/>
    <mergeCell ref="C42:E42"/>
    <mergeCell ref="C48:E48"/>
  </mergeCells>
  <pageMargins left="0.75" right="0.75" top="1" bottom="1" header="0.5" footer="0.5"/>
  <pageSetup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election activeCell="F15" sqref="F15"/>
    </sheetView>
  </sheetViews>
  <sheetFormatPr defaultRowHeight="12.75" x14ac:dyDescent="0.2"/>
  <cols>
    <col min="2" max="2" width="11.28515625" bestFit="1" customWidth="1"/>
    <col min="3" max="3" width="22.140625" bestFit="1" customWidth="1"/>
    <col min="4" max="4" width="66.85546875" customWidth="1"/>
  </cols>
  <sheetData>
    <row r="1" spans="2:4" ht="15.75" x14ac:dyDescent="0.25">
      <c r="B1" s="70" t="s">
        <v>123</v>
      </c>
      <c r="C1" s="70" t="s">
        <v>122</v>
      </c>
      <c r="D1" s="70" t="s">
        <v>124</v>
      </c>
    </row>
    <row r="2" spans="2:4" ht="15.75" x14ac:dyDescent="0.2">
      <c r="B2" s="71" t="s">
        <v>120</v>
      </c>
      <c r="C2" s="71" t="s">
        <v>125</v>
      </c>
      <c r="D2" s="72" t="s">
        <v>78</v>
      </c>
    </row>
    <row r="3" spans="2:4" ht="15.75" x14ac:dyDescent="0.2">
      <c r="B3" s="71"/>
      <c r="C3" s="71"/>
      <c r="D3" s="72"/>
    </row>
    <row r="4" spans="2:4" ht="47.25" x14ac:dyDescent="0.2">
      <c r="B4" s="71"/>
      <c r="C4" s="71" t="s">
        <v>127</v>
      </c>
      <c r="D4" s="72" t="s">
        <v>128</v>
      </c>
    </row>
    <row r="5" spans="2:4" ht="31.5" x14ac:dyDescent="0.2">
      <c r="B5" s="71"/>
      <c r="C5" s="71" t="s">
        <v>126</v>
      </c>
      <c r="D5" s="72" t="s">
        <v>121</v>
      </c>
    </row>
    <row r="6" spans="2:4" ht="31.5" x14ac:dyDescent="0.2">
      <c r="B6" s="71"/>
      <c r="C6" s="71" t="s">
        <v>129</v>
      </c>
      <c r="D6" s="72" t="s">
        <v>103</v>
      </c>
    </row>
  </sheetData>
  <autoFilter ref="B1:D2"/>
  <phoneticPr fontId="0" type="noConversion"/>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101"/>
  <sheetViews>
    <sheetView workbookViewId="0"/>
  </sheetViews>
  <sheetFormatPr defaultRowHeight="12.75" x14ac:dyDescent="0.2"/>
  <cols>
    <col min="1" max="1" width="51.140625" bestFit="1" customWidth="1"/>
  </cols>
  <sheetData>
    <row r="1" spans="1:1" x14ac:dyDescent="0.2">
      <c r="A1" t="s">
        <v>168</v>
      </c>
    </row>
    <row r="2" spans="1:1" x14ac:dyDescent="0.2">
      <c r="A2" t="s">
        <v>297</v>
      </c>
    </row>
    <row r="3" spans="1:1" x14ac:dyDescent="0.2">
      <c r="A3" t="s">
        <v>298</v>
      </c>
    </row>
    <row r="4" spans="1:1" x14ac:dyDescent="0.2">
      <c r="A4" t="s">
        <v>299</v>
      </c>
    </row>
    <row r="5" spans="1:1" x14ac:dyDescent="0.2">
      <c r="A5" t="s">
        <v>300</v>
      </c>
    </row>
    <row r="6" spans="1:1" x14ac:dyDescent="0.2">
      <c r="A6" t="s">
        <v>301</v>
      </c>
    </row>
    <row r="7" spans="1:1" x14ac:dyDescent="0.2">
      <c r="A7" t="s">
        <v>302</v>
      </c>
    </row>
    <row r="8" spans="1:1" x14ac:dyDescent="0.2">
      <c r="A8" t="s">
        <v>303</v>
      </c>
    </row>
    <row r="9" spans="1:1" x14ac:dyDescent="0.2">
      <c r="A9" t="s">
        <v>447</v>
      </c>
    </row>
    <row r="10" spans="1:1" x14ac:dyDescent="0.2">
      <c r="A10" t="s">
        <v>448</v>
      </c>
    </row>
    <row r="11" spans="1:1" x14ac:dyDescent="0.2">
      <c r="A11" t="s">
        <v>402</v>
      </c>
    </row>
    <row r="12" spans="1:1" x14ac:dyDescent="0.2">
      <c r="A12" t="s">
        <v>449</v>
      </c>
    </row>
    <row r="13" spans="1:1" x14ac:dyDescent="0.2">
      <c r="A13" t="s">
        <v>169</v>
      </c>
    </row>
    <row r="14" spans="1:1" x14ac:dyDescent="0.2">
      <c r="A14" t="s">
        <v>170</v>
      </c>
    </row>
    <row r="15" spans="1:1" x14ac:dyDescent="0.2">
      <c r="A15" t="s">
        <v>171</v>
      </c>
    </row>
    <row r="16" spans="1:1" x14ac:dyDescent="0.2">
      <c r="A16" t="s">
        <v>172</v>
      </c>
    </row>
    <row r="17" spans="1:1" x14ac:dyDescent="0.2">
      <c r="A17" t="s">
        <v>173</v>
      </c>
    </row>
    <row r="18" spans="1:1" x14ac:dyDescent="0.2">
      <c r="A18" t="s">
        <v>304</v>
      </c>
    </row>
    <row r="19" spans="1:1" x14ac:dyDescent="0.2">
      <c r="A19" t="s">
        <v>174</v>
      </c>
    </row>
    <row r="20" spans="1:1" x14ac:dyDescent="0.2">
      <c r="A20" t="s">
        <v>175</v>
      </c>
    </row>
    <row r="21" spans="1:1" x14ac:dyDescent="0.2">
      <c r="A21" t="s">
        <v>176</v>
      </c>
    </row>
    <row r="22" spans="1:1" x14ac:dyDescent="0.2">
      <c r="A22" t="s">
        <v>403</v>
      </c>
    </row>
    <row r="23" spans="1:1" x14ac:dyDescent="0.2">
      <c r="A23" t="s">
        <v>177</v>
      </c>
    </row>
    <row r="24" spans="1:1" x14ac:dyDescent="0.2">
      <c r="A24" t="s">
        <v>178</v>
      </c>
    </row>
    <row r="25" spans="1:1" x14ac:dyDescent="0.2">
      <c r="A25" t="s">
        <v>179</v>
      </c>
    </row>
    <row r="26" spans="1:1" x14ac:dyDescent="0.2">
      <c r="A26" t="s">
        <v>305</v>
      </c>
    </row>
    <row r="27" spans="1:1" x14ac:dyDescent="0.2">
      <c r="A27" t="s">
        <v>180</v>
      </c>
    </row>
    <row r="28" spans="1:1" x14ac:dyDescent="0.2">
      <c r="A28" t="s">
        <v>181</v>
      </c>
    </row>
    <row r="29" spans="1:1" x14ac:dyDescent="0.2">
      <c r="A29" t="s">
        <v>182</v>
      </c>
    </row>
    <row r="30" spans="1:1" x14ac:dyDescent="0.2">
      <c r="A30" t="s">
        <v>450</v>
      </c>
    </row>
    <row r="31" spans="1:1" x14ac:dyDescent="0.2">
      <c r="A31" t="s">
        <v>183</v>
      </c>
    </row>
    <row r="32" spans="1:1" x14ac:dyDescent="0.2">
      <c r="A32" t="s">
        <v>184</v>
      </c>
    </row>
    <row r="33" spans="1:1" x14ac:dyDescent="0.2">
      <c r="A33" t="s">
        <v>185</v>
      </c>
    </row>
    <row r="34" spans="1:1" x14ac:dyDescent="0.2">
      <c r="A34" t="s">
        <v>306</v>
      </c>
    </row>
    <row r="35" spans="1:1" x14ac:dyDescent="0.2">
      <c r="A35" t="s">
        <v>186</v>
      </c>
    </row>
    <row r="36" spans="1:1" x14ac:dyDescent="0.2">
      <c r="A36" t="s">
        <v>187</v>
      </c>
    </row>
    <row r="37" spans="1:1" x14ac:dyDescent="0.2">
      <c r="A37" t="s">
        <v>188</v>
      </c>
    </row>
    <row r="38" spans="1:1" x14ac:dyDescent="0.2">
      <c r="A38" t="s">
        <v>451</v>
      </c>
    </row>
    <row r="39" spans="1:1" x14ac:dyDescent="0.2">
      <c r="A39" t="s">
        <v>189</v>
      </c>
    </row>
    <row r="40" spans="1:1" x14ac:dyDescent="0.2">
      <c r="A40" t="s">
        <v>190</v>
      </c>
    </row>
    <row r="41" spans="1:1" x14ac:dyDescent="0.2">
      <c r="A41" t="s">
        <v>307</v>
      </c>
    </row>
    <row r="42" spans="1:1" x14ac:dyDescent="0.2">
      <c r="A42" t="s">
        <v>191</v>
      </c>
    </row>
    <row r="43" spans="1:1" x14ac:dyDescent="0.2">
      <c r="A43" t="s">
        <v>192</v>
      </c>
    </row>
    <row r="44" spans="1:1" x14ac:dyDescent="0.2">
      <c r="A44" t="s">
        <v>193</v>
      </c>
    </row>
    <row r="45" spans="1:1" x14ac:dyDescent="0.2">
      <c r="A45" t="s">
        <v>194</v>
      </c>
    </row>
    <row r="46" spans="1:1" x14ac:dyDescent="0.2">
      <c r="A46" t="s">
        <v>308</v>
      </c>
    </row>
    <row r="47" spans="1:1" x14ac:dyDescent="0.2">
      <c r="A47" t="s">
        <v>309</v>
      </c>
    </row>
    <row r="48" spans="1:1" x14ac:dyDescent="0.2">
      <c r="A48" t="s">
        <v>195</v>
      </c>
    </row>
    <row r="49" spans="1:1" x14ac:dyDescent="0.2">
      <c r="A49" t="s">
        <v>310</v>
      </c>
    </row>
    <row r="50" spans="1:1" x14ac:dyDescent="0.2">
      <c r="A50" t="s">
        <v>311</v>
      </c>
    </row>
    <row r="51" spans="1:1" x14ac:dyDescent="0.2">
      <c r="A51" t="s">
        <v>312</v>
      </c>
    </row>
    <row r="52" spans="1:1" x14ac:dyDescent="0.2">
      <c r="A52" t="s">
        <v>313</v>
      </c>
    </row>
    <row r="53" spans="1:1" x14ac:dyDescent="0.2">
      <c r="A53" t="s">
        <v>314</v>
      </c>
    </row>
    <row r="54" spans="1:1" x14ac:dyDescent="0.2">
      <c r="A54" t="s">
        <v>196</v>
      </c>
    </row>
    <row r="55" spans="1:1" x14ac:dyDescent="0.2">
      <c r="A55" t="s">
        <v>197</v>
      </c>
    </row>
    <row r="56" spans="1:1" x14ac:dyDescent="0.2">
      <c r="A56" t="s">
        <v>198</v>
      </c>
    </row>
    <row r="57" spans="1:1" x14ac:dyDescent="0.2">
      <c r="A57" t="s">
        <v>199</v>
      </c>
    </row>
    <row r="58" spans="1:1" x14ac:dyDescent="0.2">
      <c r="A58" t="s">
        <v>200</v>
      </c>
    </row>
    <row r="59" spans="1:1" x14ac:dyDescent="0.2">
      <c r="A59" t="s">
        <v>201</v>
      </c>
    </row>
    <row r="60" spans="1:1" x14ac:dyDescent="0.2">
      <c r="A60" t="s">
        <v>202</v>
      </c>
    </row>
    <row r="61" spans="1:1" x14ac:dyDescent="0.2">
      <c r="A61" t="s">
        <v>203</v>
      </c>
    </row>
    <row r="62" spans="1:1" x14ac:dyDescent="0.2">
      <c r="A62" t="s">
        <v>204</v>
      </c>
    </row>
    <row r="63" spans="1:1" x14ac:dyDescent="0.2">
      <c r="A63" t="s">
        <v>205</v>
      </c>
    </row>
    <row r="64" spans="1:1" x14ac:dyDescent="0.2">
      <c r="A64" t="s">
        <v>206</v>
      </c>
    </row>
    <row r="65" spans="1:1" x14ac:dyDescent="0.2">
      <c r="A65" t="s">
        <v>452</v>
      </c>
    </row>
    <row r="66" spans="1:1" x14ac:dyDescent="0.2">
      <c r="A66" t="s">
        <v>207</v>
      </c>
    </row>
    <row r="67" spans="1:1" x14ac:dyDescent="0.2">
      <c r="A67" t="s">
        <v>208</v>
      </c>
    </row>
    <row r="68" spans="1:1" x14ac:dyDescent="0.2">
      <c r="A68" t="s">
        <v>209</v>
      </c>
    </row>
    <row r="69" spans="1:1" x14ac:dyDescent="0.2">
      <c r="A69" t="s">
        <v>210</v>
      </c>
    </row>
    <row r="70" spans="1:1" x14ac:dyDescent="0.2">
      <c r="A70" t="s">
        <v>211</v>
      </c>
    </row>
    <row r="71" spans="1:1" x14ac:dyDescent="0.2">
      <c r="A71" t="s">
        <v>212</v>
      </c>
    </row>
    <row r="72" spans="1:1" x14ac:dyDescent="0.2">
      <c r="A72" t="s">
        <v>213</v>
      </c>
    </row>
    <row r="73" spans="1:1" x14ac:dyDescent="0.2">
      <c r="A73" t="s">
        <v>214</v>
      </c>
    </row>
    <row r="74" spans="1:1" x14ac:dyDescent="0.2">
      <c r="A74" t="s">
        <v>215</v>
      </c>
    </row>
    <row r="75" spans="1:1" x14ac:dyDescent="0.2">
      <c r="A75" t="s">
        <v>216</v>
      </c>
    </row>
    <row r="76" spans="1:1" x14ac:dyDescent="0.2">
      <c r="A76" t="s">
        <v>217</v>
      </c>
    </row>
    <row r="77" spans="1:1" x14ac:dyDescent="0.2">
      <c r="A77" t="s">
        <v>218</v>
      </c>
    </row>
    <row r="78" spans="1:1" x14ac:dyDescent="0.2">
      <c r="A78" t="s">
        <v>219</v>
      </c>
    </row>
    <row r="79" spans="1:1" x14ac:dyDescent="0.2">
      <c r="A79" t="s">
        <v>315</v>
      </c>
    </row>
    <row r="80" spans="1:1" x14ac:dyDescent="0.2">
      <c r="A80" t="s">
        <v>220</v>
      </c>
    </row>
    <row r="81" spans="1:1" x14ac:dyDescent="0.2">
      <c r="A81" t="s">
        <v>221</v>
      </c>
    </row>
    <row r="82" spans="1:1" x14ac:dyDescent="0.2">
      <c r="A82" t="s">
        <v>222</v>
      </c>
    </row>
    <row r="83" spans="1:1" x14ac:dyDescent="0.2">
      <c r="A83" t="s">
        <v>316</v>
      </c>
    </row>
    <row r="84" spans="1:1" x14ac:dyDescent="0.2">
      <c r="A84" t="s">
        <v>223</v>
      </c>
    </row>
    <row r="85" spans="1:1" x14ac:dyDescent="0.2">
      <c r="A85" t="s">
        <v>224</v>
      </c>
    </row>
    <row r="86" spans="1:1" x14ac:dyDescent="0.2">
      <c r="A86" t="s">
        <v>225</v>
      </c>
    </row>
    <row r="87" spans="1:1" x14ac:dyDescent="0.2">
      <c r="A87" t="s">
        <v>317</v>
      </c>
    </row>
    <row r="88" spans="1:1" x14ac:dyDescent="0.2">
      <c r="A88" t="s">
        <v>318</v>
      </c>
    </row>
    <row r="89" spans="1:1" x14ac:dyDescent="0.2">
      <c r="A89" t="s">
        <v>319</v>
      </c>
    </row>
    <row r="90" spans="1:1" x14ac:dyDescent="0.2">
      <c r="A90" t="s">
        <v>320</v>
      </c>
    </row>
    <row r="91" spans="1:1" x14ac:dyDescent="0.2">
      <c r="A91" t="s">
        <v>321</v>
      </c>
    </row>
    <row r="92" spans="1:1" x14ac:dyDescent="0.2">
      <c r="A92" t="s">
        <v>322</v>
      </c>
    </row>
    <row r="93" spans="1:1" x14ac:dyDescent="0.2">
      <c r="A93" t="s">
        <v>323</v>
      </c>
    </row>
    <row r="94" spans="1:1" x14ac:dyDescent="0.2">
      <c r="A94" t="s">
        <v>324</v>
      </c>
    </row>
    <row r="95" spans="1:1" x14ac:dyDescent="0.2">
      <c r="A95" t="s">
        <v>325</v>
      </c>
    </row>
    <row r="96" spans="1:1" x14ac:dyDescent="0.2">
      <c r="A96" t="s">
        <v>404</v>
      </c>
    </row>
    <row r="97" spans="1:1" x14ac:dyDescent="0.2">
      <c r="A97" t="s">
        <v>453</v>
      </c>
    </row>
    <row r="98" spans="1:1" x14ac:dyDescent="0.2">
      <c r="A98" t="s">
        <v>454</v>
      </c>
    </row>
    <row r="99" spans="1:1" x14ac:dyDescent="0.2">
      <c r="A99" t="s">
        <v>226</v>
      </c>
    </row>
    <row r="100" spans="1:1" x14ac:dyDescent="0.2">
      <c r="A100" t="s">
        <v>405</v>
      </c>
    </row>
    <row r="101" spans="1:1" x14ac:dyDescent="0.2">
      <c r="A101" t="s">
        <v>227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10</vt:i4>
      </vt:variant>
    </vt:vector>
  </HeadingPairs>
  <TitlesOfParts>
    <vt:vector size="19" baseType="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Smith</dc:creator>
  <cp:lastModifiedBy>Sengottaiyan, Selva</cp:lastModifiedBy>
  <cp:lastPrinted>2008-07-30T16:56:41Z</cp:lastPrinted>
  <dcterms:created xsi:type="dcterms:W3CDTF">1996-10-14T23:33:28Z</dcterms:created>
  <dcterms:modified xsi:type="dcterms:W3CDTF">2014-10-10T14:22:19Z</dcterms:modified>
</cp:coreProperties>
</file>